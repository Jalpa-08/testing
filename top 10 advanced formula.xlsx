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ed Excle\"/>
    </mc:Choice>
  </mc:AlternateContent>
  <xr:revisionPtr revIDLastSave="0" documentId="13_ncr:1_{9E0D5098-B59F-44EB-BFEA-C5E8C85671EA}" xr6:coauthVersionLast="47" xr6:coauthVersionMax="47" xr10:uidLastSave="{00000000-0000-0000-0000-000000000000}"/>
  <bookViews>
    <workbookView xWindow="-120" yWindow="-120" windowWidth="29040" windowHeight="15840" tabRatio="444" activeTab="4" xr2:uid="{11F4FB74-E124-4739-848B-C6EFD555683F}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Sheet2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6" l="1" a="1"/>
  <c r="H40" i="6" s="1"/>
  <c r="H8" i="6" a="1"/>
  <c r="H8" i="6" s="1"/>
  <c r="I20" i="1"/>
  <c r="I14" i="1"/>
  <c r="I4" i="11"/>
  <c r="J24" i="10" a="1"/>
  <c r="J24" i="10" s="1"/>
  <c r="G5" i="10"/>
  <c r="G6" i="10"/>
  <c r="G7" i="10"/>
  <c r="G8" i="10"/>
  <c r="G9" i="10"/>
  <c r="G10" i="10"/>
  <c r="G11" i="10"/>
  <c r="G4" i="10"/>
  <c r="E17" i="9"/>
  <c r="E16" i="9"/>
  <c r="K20" i="8"/>
  <c r="J8" i="8"/>
  <c r="J4" i="8"/>
  <c r="K20" i="7"/>
  <c r="J13" i="7"/>
  <c r="J4" i="7"/>
  <c r="I8" i="11"/>
  <c r="H88" i="6" a="1"/>
  <c r="H88" i="6" s="1"/>
  <c r="H72" i="6" a="1"/>
  <c r="H72" i="6" s="1"/>
  <c r="H56" i="6" a="1"/>
  <c r="H56" i="6" s="1"/>
  <c r="H24" i="6" a="1"/>
  <c r="H24" i="6" s="1"/>
  <c r="I8" i="5"/>
  <c r="I4" i="5"/>
  <c r="I23" i="4" a="1"/>
  <c r="I23" i="4" s="1"/>
  <c r="I20" i="4" a="1"/>
  <c r="I20" i="4" s="1"/>
  <c r="I13" i="4"/>
  <c r="I10" i="4"/>
  <c r="I7" i="4"/>
  <c r="I4" i="4"/>
  <c r="C48" i="3" a="1"/>
  <c r="C48" i="3" s="1"/>
  <c r="I45" i="3" a="1"/>
  <c r="I45" i="3" s="1"/>
  <c r="I42" i="3"/>
  <c r="I39" i="3"/>
  <c r="I36" i="3"/>
  <c r="I23" i="3"/>
  <c r="I21" i="3"/>
  <c r="I6" i="3"/>
  <c r="J20" i="1"/>
  <c r="K20" i="1"/>
  <c r="L20" i="1"/>
  <c r="I7" i="1"/>
  <c r="J13" i="1"/>
  <c r="I13" i="1"/>
  <c r="I4" i="1"/>
  <c r="J8" i="11"/>
  <c r="J4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<sst xmlns="http://schemas.openxmlformats.org/spreadsheetml/2006/main" count="1484" uniqueCount="106">
  <si>
    <t>EmpID</t>
  </si>
  <si>
    <t>Name</t>
  </si>
  <si>
    <t>Department</t>
  </si>
  <si>
    <t>Salary</t>
  </si>
  <si>
    <t>Location</t>
  </si>
  <si>
    <t>Rohan</t>
  </si>
  <si>
    <t>Sales</t>
  </si>
  <si>
    <t>Mumbai</t>
  </si>
  <si>
    <t>Priya</t>
  </si>
  <si>
    <t>HR</t>
  </si>
  <si>
    <t>Delhi</t>
  </si>
  <si>
    <t>Aman</t>
  </si>
  <si>
    <t>Finance</t>
  </si>
  <si>
    <t>Pune</t>
  </si>
  <si>
    <t>Neha</t>
  </si>
  <si>
    <t>Marketing</t>
  </si>
  <si>
    <t>Karan</t>
  </si>
  <si>
    <t>Chennai</t>
  </si>
  <si>
    <t>Sheetal</t>
  </si>
  <si>
    <t>Mohit</t>
  </si>
  <si>
    <t>Kavya</t>
  </si>
  <si>
    <t>IT</t>
  </si>
  <si>
    <t>Bangalore</t>
  </si>
  <si>
    <t>Rahul</t>
  </si>
  <si>
    <t>Sneha</t>
  </si>
  <si>
    <r>
      <t xml:space="preserve">1. VLOOKUP Formula </t>
    </r>
    <r>
      <rPr>
        <b/>
        <sz val="36"/>
        <color rgb="FFC00000"/>
        <rFont val="Aptos Narrow"/>
        <family val="2"/>
        <scheme val="minor"/>
      </rPr>
      <t>(Advanced Use Cases)</t>
    </r>
  </si>
  <si>
    <t>2. INDEX and MATCH Formula</t>
  </si>
  <si>
    <r>
      <t xml:space="preserve">3. XLOOKUP Formula : </t>
    </r>
    <r>
      <rPr>
        <b/>
        <sz val="20"/>
        <color rgb="FFC00000"/>
        <rFont val="Aptos Narrow"/>
        <family val="2"/>
        <scheme val="minor"/>
      </rPr>
      <t xml:space="preserve">Latest, fastest, replaces VLOOKUP, INDEX MATCH &amp; HLOOKUP completely. </t>
    </r>
  </si>
  <si>
    <t xml:space="preserve">Neha </t>
  </si>
  <si>
    <t xml:space="preserve">Mohit </t>
  </si>
  <si>
    <t>How INDEX Works?</t>
  </si>
  <si>
    <t>How MATCH works ?</t>
  </si>
  <si>
    <t>neha</t>
  </si>
  <si>
    <t>sneha</t>
  </si>
  <si>
    <t>salary</t>
  </si>
  <si>
    <t>name</t>
  </si>
  <si>
    <t>5. FILTER Formula</t>
  </si>
  <si>
    <t>Sonu</t>
  </si>
  <si>
    <t>Tinku</t>
  </si>
  <si>
    <t>Sumit</t>
  </si>
  <si>
    <t>Sunny</t>
  </si>
  <si>
    <t>it</t>
  </si>
  <si>
    <t>&gt; Filter refords from MUMBAI location</t>
  </si>
  <si>
    <t>&gt; Filter All Records of IT DEPARTMENT.</t>
  </si>
  <si>
    <t>&gt; Filter all records where salary is less than 55000</t>
  </si>
  <si>
    <t xml:space="preserve">&gt; Filter all records where DEPARTMENT is HR </t>
  </si>
  <si>
    <t>and SALARY is less than 55000</t>
  </si>
  <si>
    <t>&gt; Filter all NAME and SALARY of IT DEPARTMENT.</t>
  </si>
  <si>
    <t>&gt; Filter only NAME of IT DEPARTMENT.</t>
  </si>
  <si>
    <t>MOHIT</t>
  </si>
  <si>
    <t>6. Sumif and Sumifs</t>
  </si>
  <si>
    <t>Total Salary</t>
  </si>
  <si>
    <t>Working Shift</t>
  </si>
  <si>
    <t>Morning</t>
  </si>
  <si>
    <t>Evening</t>
  </si>
  <si>
    <t>morning</t>
  </si>
  <si>
    <t>7. Countif and Countifs</t>
  </si>
  <si>
    <t>Total Emp.</t>
  </si>
  <si>
    <t>8. Subtotal Formula</t>
  </si>
  <si>
    <t>Category</t>
  </si>
  <si>
    <t>Item</t>
  </si>
  <si>
    <t>Units</t>
  </si>
  <si>
    <t>Clothing</t>
  </si>
  <si>
    <t>Electronics</t>
  </si>
  <si>
    <t>Mobile</t>
  </si>
  <si>
    <t>T-Shirt</t>
  </si>
  <si>
    <t>Grocery</t>
  </si>
  <si>
    <t>Sugar</t>
  </si>
  <si>
    <t>Laptop</t>
  </si>
  <si>
    <t>Jeans</t>
  </si>
  <si>
    <t>Tablet</t>
  </si>
  <si>
    <t>ID</t>
  </si>
  <si>
    <t>Status</t>
  </si>
  <si>
    <t>Joining Date</t>
  </si>
  <si>
    <t>Active</t>
  </si>
  <si>
    <t>Inactive</t>
  </si>
  <si>
    <t>Meera</t>
  </si>
  <si>
    <t>Sohan</t>
  </si>
  <si>
    <t>First Name</t>
  </si>
  <si>
    <t>Middle Name</t>
  </si>
  <si>
    <t>Last Name</t>
  </si>
  <si>
    <t>Kumar</t>
  </si>
  <si>
    <t>Singh</t>
  </si>
  <si>
    <t>Devi</t>
  </si>
  <si>
    <t>Yadav</t>
  </si>
  <si>
    <t>Rani</t>
  </si>
  <si>
    <t>Verma</t>
  </si>
  <si>
    <t>Mehta</t>
  </si>
  <si>
    <t>Kaur</t>
  </si>
  <si>
    <t>Gill</t>
  </si>
  <si>
    <t>Raj</t>
  </si>
  <si>
    <t>Ankit</t>
  </si>
  <si>
    <t>Gupta</t>
  </si>
  <si>
    <t>Full Name</t>
  </si>
  <si>
    <t>Names</t>
  </si>
  <si>
    <t>Priya Singh</t>
  </si>
  <si>
    <t>Amit Kumar</t>
  </si>
  <si>
    <t>Minku</t>
  </si>
  <si>
    <t>Lalit</t>
  </si>
  <si>
    <t>Emp Name</t>
  </si>
  <si>
    <t>9. Textjoin + Filter Formula</t>
  </si>
  <si>
    <t>10. Formulatext formula</t>
  </si>
  <si>
    <t>evening</t>
  </si>
  <si>
    <t>Sum</t>
  </si>
  <si>
    <t>Count</t>
  </si>
  <si>
    <r>
      <t xml:space="preserve">4. TRIM Formula (Solve Big Problems) - </t>
    </r>
    <r>
      <rPr>
        <b/>
        <sz val="36"/>
        <color rgb="FFC00000"/>
        <rFont val="Aptos Narrow"/>
        <family val="2"/>
        <scheme val="minor"/>
      </rPr>
      <t>Don't Underestimate it… 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</si>
</sst>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rgb="FFC00000"/>
      <name val="Aptos Narrow"/>
      <family val="2"/>
      <scheme val="minor"/>
    </font>
    <font>
      <b/>
      <sz val="2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2" xfId="0" applyFill="1" applyBorder="1"/>
    <xf numFmtId="0" fontId="2" fillId="2" borderId="2" xfId="0" applyFont="1" applyFill="1" applyBorder="1" applyAlignment="1">
      <alignment vertical="center"/>
    </xf>
    <xf numFmtId="0" fontId="1" fillId="3" borderId="1" xfId="0" applyFont="1" applyFill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2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F1DF-E671-40CD-A564-AAF557AC83B4}">
  <dimension ref="B1:M29"/>
  <sheetViews>
    <sheetView workbookViewId="0">
      <pane ySplit="1" topLeftCell="A8" activePane="bottomLeft" state="frozen"/>
      <selection pane="bottomLeft" activeCell="M21" sqref="M21"/>
    </sheetView>
  </sheetViews>
  <sheetFormatPr defaultRowHeight="26.25" x14ac:dyDescent="0.4"/>
  <cols>
    <col min="1" max="1" width="2" customWidth="1"/>
    <col min="4" max="4" width="10.7109375" customWidth="1"/>
    <col min="9" max="9" width="10.5" customWidth="1"/>
    <col min="10" max="10" width="10.640625" customWidth="1"/>
  </cols>
  <sheetData>
    <row r="1" spans="2:13" s="2" customFormat="1" ht="51.6" customHeight="1" thickBot="1" x14ac:dyDescent="0.45">
      <c r="B1" s="4" t="s">
        <v>25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2:13" x14ac:dyDescent="0.4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5" t="s">
        <v>0</v>
      </c>
      <c r="I3" s="5" t="s">
        <v>3</v>
      </c>
    </row>
    <row r="4" spans="2:13" x14ac:dyDescent="0.4">
      <c r="B4" s="1">
        <v>101</v>
      </c>
      <c r="C4" s="1" t="s">
        <v>5</v>
      </c>
      <c r="D4" s="1" t="s">
        <v>6</v>
      </c>
      <c r="E4" s="1">
        <v>45000</v>
      </c>
      <c r="F4" s="1" t="s">
        <v>7</v>
      </c>
      <c r="H4" s="1">
        <v>102</v>
      </c>
      <c r="I4" s="1">
        <f>VLOOKUP(H4,B3:F13,4,0)</f>
        <v>52000</v>
      </c>
    </row>
    <row r="5" spans="2:13" x14ac:dyDescent="0.4">
      <c r="B5" s="1">
        <v>102</v>
      </c>
      <c r="C5" s="1" t="s">
        <v>8</v>
      </c>
      <c r="D5" s="1" t="s">
        <v>9</v>
      </c>
      <c r="E5" s="1">
        <v>52000</v>
      </c>
      <c r="F5" s="1" t="s">
        <v>10</v>
      </c>
    </row>
    <row r="6" spans="2:13" x14ac:dyDescent="0.4">
      <c r="B6" s="1">
        <v>103</v>
      </c>
      <c r="C6" s="1" t="s">
        <v>11</v>
      </c>
      <c r="D6" s="1" t="s">
        <v>12</v>
      </c>
      <c r="E6" s="1">
        <v>60000</v>
      </c>
      <c r="F6" s="1" t="s">
        <v>13</v>
      </c>
      <c r="H6" s="5" t="s">
        <v>0</v>
      </c>
      <c r="I6" s="5" t="s">
        <v>2</v>
      </c>
    </row>
    <row r="7" spans="2:13" x14ac:dyDescent="0.4">
      <c r="B7" s="1">
        <v>104</v>
      </c>
      <c r="C7" s="1" t="s">
        <v>14</v>
      </c>
      <c r="D7" s="1" t="s">
        <v>15</v>
      </c>
      <c r="E7" s="1">
        <v>48000</v>
      </c>
      <c r="F7" s="1" t="s">
        <v>7</v>
      </c>
      <c r="H7" s="1">
        <v>115</v>
      </c>
      <c r="I7" s="1" t="str">
        <f>IFERROR(VLOOKUP(H7,B3:F13,3,0),"not found")</f>
        <v>not found</v>
      </c>
    </row>
    <row r="8" spans="2:13" x14ac:dyDescent="0.4">
      <c r="B8" s="1">
        <v>105</v>
      </c>
      <c r="C8" s="1" t="s">
        <v>16</v>
      </c>
      <c r="D8" s="1" t="s">
        <v>6</v>
      </c>
      <c r="E8" s="1">
        <v>55000</v>
      </c>
      <c r="F8" s="1" t="s">
        <v>17</v>
      </c>
    </row>
    <row r="9" spans="2:13" x14ac:dyDescent="0.4">
      <c r="B9" s="1">
        <v>106</v>
      </c>
      <c r="C9" s="1" t="s">
        <v>18</v>
      </c>
      <c r="D9" s="1" t="s">
        <v>9</v>
      </c>
      <c r="E9" s="1">
        <v>51000</v>
      </c>
      <c r="F9" s="1" t="s">
        <v>13</v>
      </c>
      <c r="H9" s="5" t="s">
        <v>1</v>
      </c>
      <c r="I9" s="5" t="s">
        <v>0</v>
      </c>
    </row>
    <row r="10" spans="2:13" x14ac:dyDescent="0.4">
      <c r="B10" s="1">
        <v>107</v>
      </c>
      <c r="C10" s="1" t="s">
        <v>19</v>
      </c>
      <c r="D10" s="1" t="s">
        <v>12</v>
      </c>
      <c r="E10" s="1">
        <v>62000</v>
      </c>
      <c r="F10" s="1" t="s">
        <v>10</v>
      </c>
      <c r="H10" s="1" t="s">
        <v>32</v>
      </c>
      <c r="I10" s="1"/>
    </row>
    <row r="11" spans="2:13" x14ac:dyDescent="0.4">
      <c r="B11" s="1">
        <v>108</v>
      </c>
      <c r="C11" s="1" t="s">
        <v>20</v>
      </c>
      <c r="D11" s="1" t="s">
        <v>21</v>
      </c>
      <c r="E11" s="1">
        <v>70000</v>
      </c>
      <c r="F11" s="1" t="s">
        <v>22</v>
      </c>
    </row>
    <row r="12" spans="2:13" x14ac:dyDescent="0.4">
      <c r="B12" s="1">
        <v>109</v>
      </c>
      <c r="C12" s="1" t="s">
        <v>23</v>
      </c>
      <c r="D12" s="1" t="s">
        <v>12</v>
      </c>
      <c r="E12" s="1">
        <v>58000</v>
      </c>
      <c r="F12" s="1" t="s">
        <v>7</v>
      </c>
      <c r="H12" s="5" t="s">
        <v>1</v>
      </c>
      <c r="I12" s="5" t="s">
        <v>2</v>
      </c>
      <c r="J12" s="5" t="s">
        <v>3</v>
      </c>
    </row>
    <row r="13" spans="2:13" x14ac:dyDescent="0.4">
      <c r="B13" s="1">
        <v>110</v>
      </c>
      <c r="C13" s="1" t="s">
        <v>24</v>
      </c>
      <c r="D13" s="1" t="s">
        <v>15</v>
      </c>
      <c r="E13" s="1">
        <v>47000</v>
      </c>
      <c r="F13" s="1" t="s">
        <v>10</v>
      </c>
      <c r="H13" s="1" t="s">
        <v>33</v>
      </c>
      <c r="I13" s="1" t="str">
        <f>VLOOKUP(H13,C3:F13,2,0)</f>
        <v>Marketing</v>
      </c>
      <c r="J13" s="1">
        <f>VLOOKUP(H13,C3:F13,3,0)</f>
        <v>47000</v>
      </c>
    </row>
    <row r="14" spans="2:13" x14ac:dyDescent="0.4">
      <c r="I14" t="str">
        <f>VLOOKUP(H13,C3:F13,2,0)</f>
        <v>Marketing</v>
      </c>
    </row>
    <row r="19" spans="2:12" x14ac:dyDescent="0.4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H19" s="5" t="s">
        <v>0</v>
      </c>
      <c r="I19" s="5" t="s">
        <v>1</v>
      </c>
      <c r="J19" s="5" t="s">
        <v>2</v>
      </c>
      <c r="K19" s="5" t="s">
        <v>3</v>
      </c>
      <c r="L19" s="5" t="s">
        <v>4</v>
      </c>
    </row>
    <row r="20" spans="2:12" x14ac:dyDescent="0.4">
      <c r="B20" s="1">
        <v>101</v>
      </c>
      <c r="C20" s="1" t="s">
        <v>5</v>
      </c>
      <c r="D20" s="1" t="s">
        <v>6</v>
      </c>
      <c r="E20" s="1">
        <v>45000</v>
      </c>
      <c r="F20" s="1" t="s">
        <v>7</v>
      </c>
      <c r="H20" s="1">
        <v>103</v>
      </c>
      <c r="I20" t="str">
        <f>VLOOKUP($H$20,$B$19:$F$29,COLUMNS($H$19:I19),0)</f>
        <v>Aman</v>
      </c>
      <c r="J20" t="str">
        <f>VLOOKUP($H$20,$B$19:$F$29,COLUMNS($H$18:J18),0)</f>
        <v>Finance</v>
      </c>
      <c r="K20">
        <f>VLOOKUP($H$20,$B$19:$F$29,COLUMNS($H$18:K18),0)</f>
        <v>60000</v>
      </c>
      <c r="L20" t="str">
        <f>VLOOKUP($H$20,$B$19:$F$29,COLUMNS($H$18:L18),0)</f>
        <v>Pune</v>
      </c>
    </row>
    <row r="21" spans="2:12" x14ac:dyDescent="0.4">
      <c r="B21" s="1">
        <v>102</v>
      </c>
      <c r="C21" s="1" t="s">
        <v>8</v>
      </c>
      <c r="D21" s="1" t="s">
        <v>9</v>
      </c>
      <c r="E21" s="1">
        <v>52000</v>
      </c>
      <c r="F21" s="1" t="s">
        <v>10</v>
      </c>
    </row>
    <row r="22" spans="2:12" x14ac:dyDescent="0.4">
      <c r="B22" s="1">
        <v>103</v>
      </c>
      <c r="C22" s="1" t="s">
        <v>11</v>
      </c>
      <c r="D22" s="1" t="s">
        <v>12</v>
      </c>
      <c r="E22" s="1">
        <v>60000</v>
      </c>
      <c r="F22" s="1" t="s">
        <v>13</v>
      </c>
    </row>
    <row r="23" spans="2:12" x14ac:dyDescent="0.4">
      <c r="B23" s="1">
        <v>104</v>
      </c>
      <c r="C23" s="1" t="s">
        <v>14</v>
      </c>
      <c r="D23" s="1" t="s">
        <v>15</v>
      </c>
      <c r="E23" s="1">
        <v>48000</v>
      </c>
      <c r="F23" s="1" t="s">
        <v>7</v>
      </c>
    </row>
    <row r="24" spans="2:12" x14ac:dyDescent="0.4">
      <c r="B24" s="1">
        <v>105</v>
      </c>
      <c r="C24" s="1" t="s">
        <v>16</v>
      </c>
      <c r="D24" s="1" t="s">
        <v>6</v>
      </c>
      <c r="E24" s="1">
        <v>55000</v>
      </c>
      <c r="F24" s="1" t="s">
        <v>17</v>
      </c>
    </row>
    <row r="25" spans="2:12" x14ac:dyDescent="0.4">
      <c r="B25" s="1">
        <v>106</v>
      </c>
      <c r="C25" s="1" t="s">
        <v>18</v>
      </c>
      <c r="D25" s="1" t="s">
        <v>9</v>
      </c>
      <c r="E25" s="1">
        <v>51000</v>
      </c>
      <c r="F25" s="1" t="s">
        <v>13</v>
      </c>
    </row>
    <row r="26" spans="2:12" x14ac:dyDescent="0.4">
      <c r="B26" s="1">
        <v>107</v>
      </c>
      <c r="C26" s="1" t="s">
        <v>19</v>
      </c>
      <c r="D26" s="1" t="s">
        <v>12</v>
      </c>
      <c r="E26" s="1">
        <v>62000</v>
      </c>
      <c r="F26" s="1" t="s">
        <v>10</v>
      </c>
    </row>
    <row r="27" spans="2:12" x14ac:dyDescent="0.4">
      <c r="B27" s="1">
        <v>108</v>
      </c>
      <c r="C27" s="1" t="s">
        <v>20</v>
      </c>
      <c r="D27" s="1" t="s">
        <v>21</v>
      </c>
      <c r="E27" s="1">
        <v>70000</v>
      </c>
      <c r="F27" s="1" t="s">
        <v>22</v>
      </c>
    </row>
    <row r="28" spans="2:12" x14ac:dyDescent="0.4">
      <c r="B28" s="1">
        <v>109</v>
      </c>
      <c r="C28" s="1" t="s">
        <v>23</v>
      </c>
      <c r="D28" s="1" t="s">
        <v>12</v>
      </c>
      <c r="E28" s="1">
        <v>58000</v>
      </c>
      <c r="F28" s="1" t="s">
        <v>7</v>
      </c>
    </row>
    <row r="29" spans="2:12" x14ac:dyDescent="0.4">
      <c r="B29" s="1">
        <v>110</v>
      </c>
      <c r="C29" s="1" t="s">
        <v>24</v>
      </c>
      <c r="D29" s="1" t="s">
        <v>15</v>
      </c>
      <c r="E29" s="1">
        <v>47000</v>
      </c>
      <c r="F29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CE2E-74B4-4C11-AD79-EB093F685622}">
  <dimension ref="A1:S48"/>
  <sheetViews>
    <sheetView workbookViewId="0">
      <pane ySplit="1" topLeftCell="A34" activePane="bottomLeft" state="frozen"/>
      <selection pane="bottomLeft" activeCell="D48" sqref="D48"/>
    </sheetView>
  </sheetViews>
  <sheetFormatPr defaultRowHeight="26.25" x14ac:dyDescent="0.4"/>
  <cols>
    <col min="1" max="1" width="2" customWidth="1"/>
    <col min="4" max="4" width="10.7109375" customWidth="1"/>
    <col min="9" max="9" width="10.5" customWidth="1"/>
  </cols>
  <sheetData>
    <row r="1" spans="1:19" ht="51.6" customHeight="1" thickBot="1" x14ac:dyDescent="0.45">
      <c r="A1" s="2"/>
      <c r="B1" s="4" t="s">
        <v>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</row>
    <row r="3" spans="1:19" x14ac:dyDescent="0.4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6" t="s">
        <v>30</v>
      </c>
    </row>
    <row r="4" spans="1:19" x14ac:dyDescent="0.4">
      <c r="B4" s="1">
        <v>101</v>
      </c>
      <c r="C4" s="1" t="s">
        <v>5</v>
      </c>
      <c r="D4" s="1" t="s">
        <v>6</v>
      </c>
      <c r="E4" s="1">
        <v>45000</v>
      </c>
      <c r="F4" s="1" t="s">
        <v>7</v>
      </c>
    </row>
    <row r="5" spans="1:19" x14ac:dyDescent="0.4">
      <c r="B5" s="1">
        <v>102</v>
      </c>
      <c r="C5" s="1" t="s">
        <v>8</v>
      </c>
      <c r="D5" s="1" t="s">
        <v>9</v>
      </c>
      <c r="E5" s="1">
        <v>52000</v>
      </c>
      <c r="F5" s="1" t="s">
        <v>10</v>
      </c>
      <c r="H5" s="5" t="s">
        <v>0</v>
      </c>
      <c r="I5" s="5" t="s">
        <v>3</v>
      </c>
    </row>
    <row r="6" spans="1:19" x14ac:dyDescent="0.4">
      <c r="B6" s="1">
        <v>103</v>
      </c>
      <c r="C6" s="1" t="s">
        <v>11</v>
      </c>
      <c r="D6" s="1" t="s">
        <v>12</v>
      </c>
      <c r="E6" s="1">
        <v>60000</v>
      </c>
      <c r="F6" s="1" t="s">
        <v>13</v>
      </c>
      <c r="H6" s="1">
        <v>106</v>
      </c>
      <c r="I6" s="1">
        <f>INDEX(B3:F13,3,4)</f>
        <v>52000</v>
      </c>
    </row>
    <row r="7" spans="1:19" x14ac:dyDescent="0.4">
      <c r="B7" s="1">
        <v>104</v>
      </c>
      <c r="C7" s="1" t="s">
        <v>14</v>
      </c>
      <c r="D7" s="1" t="s">
        <v>15</v>
      </c>
      <c r="E7" s="1">
        <v>48000</v>
      </c>
      <c r="F7" s="1" t="s">
        <v>7</v>
      </c>
    </row>
    <row r="8" spans="1:19" x14ac:dyDescent="0.4">
      <c r="B8" s="1">
        <v>105</v>
      </c>
      <c r="C8" s="1" t="s">
        <v>16</v>
      </c>
      <c r="D8" s="1" t="s">
        <v>6</v>
      </c>
      <c r="E8" s="1">
        <v>55000</v>
      </c>
      <c r="F8" s="1" t="s">
        <v>17</v>
      </c>
    </row>
    <row r="9" spans="1:19" x14ac:dyDescent="0.4">
      <c r="B9" s="1">
        <v>106</v>
      </c>
      <c r="C9" s="1" t="s">
        <v>18</v>
      </c>
      <c r="D9" s="1" t="s">
        <v>9</v>
      </c>
      <c r="E9" s="1">
        <v>51000</v>
      </c>
      <c r="F9" s="1" t="s">
        <v>13</v>
      </c>
    </row>
    <row r="10" spans="1:19" x14ac:dyDescent="0.4">
      <c r="B10" s="1">
        <v>107</v>
      </c>
      <c r="C10" s="1" t="s">
        <v>19</v>
      </c>
      <c r="D10" s="1" t="s">
        <v>12</v>
      </c>
      <c r="E10" s="1">
        <v>62000</v>
      </c>
      <c r="F10" s="1" t="s">
        <v>10</v>
      </c>
    </row>
    <row r="11" spans="1:19" x14ac:dyDescent="0.4">
      <c r="B11" s="1">
        <v>108</v>
      </c>
      <c r="C11" s="1" t="s">
        <v>20</v>
      </c>
      <c r="D11" s="1" t="s">
        <v>21</v>
      </c>
      <c r="E11" s="1">
        <v>70000</v>
      </c>
      <c r="F11" s="1" t="s">
        <v>22</v>
      </c>
    </row>
    <row r="12" spans="1:19" x14ac:dyDescent="0.4">
      <c r="B12" s="1">
        <v>109</v>
      </c>
      <c r="C12" s="1" t="s">
        <v>23</v>
      </c>
      <c r="D12" s="1" t="s">
        <v>12</v>
      </c>
      <c r="E12" s="1">
        <v>58000</v>
      </c>
      <c r="F12" s="1" t="s">
        <v>7</v>
      </c>
    </row>
    <row r="13" spans="1:19" x14ac:dyDescent="0.4">
      <c r="B13" s="1">
        <v>110</v>
      </c>
      <c r="C13" s="1" t="s">
        <v>24</v>
      </c>
      <c r="D13" s="1" t="s">
        <v>15</v>
      </c>
      <c r="E13" s="1">
        <v>47000</v>
      </c>
      <c r="F13" s="1" t="s">
        <v>10</v>
      </c>
    </row>
    <row r="19" spans="2:9" x14ac:dyDescent="0.4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H19" s="6" t="s">
        <v>31</v>
      </c>
    </row>
    <row r="20" spans="2:9" x14ac:dyDescent="0.4">
      <c r="B20" s="1">
        <v>101</v>
      </c>
      <c r="C20" s="1" t="s">
        <v>5</v>
      </c>
      <c r="D20" s="1" t="s">
        <v>6</v>
      </c>
      <c r="E20" s="1">
        <v>45000</v>
      </c>
      <c r="F20" s="1" t="s">
        <v>7</v>
      </c>
    </row>
    <row r="21" spans="2:9" x14ac:dyDescent="0.4">
      <c r="B21" s="1">
        <v>102</v>
      </c>
      <c r="C21" s="1" t="s">
        <v>8</v>
      </c>
      <c r="D21" s="1" t="s">
        <v>9</v>
      </c>
      <c r="E21" s="1">
        <v>52000</v>
      </c>
      <c r="F21" s="1" t="s">
        <v>10</v>
      </c>
      <c r="H21">
        <v>103</v>
      </c>
      <c r="I21">
        <f>MATCH(H21,B19:B29,0)</f>
        <v>4</v>
      </c>
    </row>
    <row r="22" spans="2:9" x14ac:dyDescent="0.4">
      <c r="B22" s="1">
        <v>103</v>
      </c>
      <c r="C22" s="1" t="s">
        <v>11</v>
      </c>
      <c r="D22" s="1" t="s">
        <v>12</v>
      </c>
      <c r="E22" s="1">
        <v>60000</v>
      </c>
      <c r="F22" s="1" t="s">
        <v>13</v>
      </c>
    </row>
    <row r="23" spans="2:9" x14ac:dyDescent="0.4">
      <c r="B23" s="1">
        <v>104</v>
      </c>
      <c r="C23" s="1" t="s">
        <v>14</v>
      </c>
      <c r="D23" s="1" t="s">
        <v>15</v>
      </c>
      <c r="E23" s="1">
        <v>48000</v>
      </c>
      <c r="F23" s="1" t="s">
        <v>7</v>
      </c>
      <c r="H23" t="s">
        <v>34</v>
      </c>
      <c r="I23">
        <f>MATCH(H23,B19:F19,0)</f>
        <v>4</v>
      </c>
    </row>
    <row r="24" spans="2:9" x14ac:dyDescent="0.4">
      <c r="B24" s="1">
        <v>105</v>
      </c>
      <c r="C24" s="1" t="s">
        <v>16</v>
      </c>
      <c r="D24" s="1" t="s">
        <v>6</v>
      </c>
      <c r="E24" s="1">
        <v>55000</v>
      </c>
      <c r="F24" s="1" t="s">
        <v>17</v>
      </c>
    </row>
    <row r="25" spans="2:9" x14ac:dyDescent="0.4">
      <c r="B25" s="1">
        <v>106</v>
      </c>
      <c r="C25" s="1" t="s">
        <v>18</v>
      </c>
      <c r="D25" s="1" t="s">
        <v>9</v>
      </c>
      <c r="E25" s="1">
        <v>51000</v>
      </c>
      <c r="F25" s="1" t="s">
        <v>13</v>
      </c>
    </row>
    <row r="26" spans="2:9" x14ac:dyDescent="0.4">
      <c r="B26" s="1">
        <v>107</v>
      </c>
      <c r="C26" s="1" t="s">
        <v>19</v>
      </c>
      <c r="D26" s="1" t="s">
        <v>12</v>
      </c>
      <c r="E26" s="1">
        <v>62000</v>
      </c>
      <c r="F26" s="1" t="s">
        <v>10</v>
      </c>
    </row>
    <row r="27" spans="2:9" x14ac:dyDescent="0.4">
      <c r="B27" s="1">
        <v>108</v>
      </c>
      <c r="C27" s="1" t="s">
        <v>20</v>
      </c>
      <c r="D27" s="1" t="s">
        <v>21</v>
      </c>
      <c r="E27" s="1">
        <v>70000</v>
      </c>
      <c r="F27" s="1" t="s">
        <v>22</v>
      </c>
    </row>
    <row r="28" spans="2:9" x14ac:dyDescent="0.4">
      <c r="B28" s="1">
        <v>109</v>
      </c>
      <c r="C28" s="1" t="s">
        <v>23</v>
      </c>
      <c r="D28" s="1" t="s">
        <v>12</v>
      </c>
      <c r="E28" s="1">
        <v>58000</v>
      </c>
      <c r="F28" s="1" t="s">
        <v>7</v>
      </c>
    </row>
    <row r="29" spans="2:9" x14ac:dyDescent="0.4">
      <c r="B29" s="1">
        <v>110</v>
      </c>
      <c r="C29" s="1" t="s">
        <v>24</v>
      </c>
      <c r="D29" s="1" t="s">
        <v>15</v>
      </c>
      <c r="E29" s="1">
        <v>47000</v>
      </c>
      <c r="F29" s="1" t="s">
        <v>10</v>
      </c>
    </row>
    <row r="35" spans="2:12" x14ac:dyDescent="0.4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H35" s="5" t="s">
        <v>0</v>
      </c>
      <c r="I35" s="5" t="s">
        <v>3</v>
      </c>
    </row>
    <row r="36" spans="2:12" x14ac:dyDescent="0.4">
      <c r="B36" s="1">
        <v>101</v>
      </c>
      <c r="C36" s="1" t="s">
        <v>5</v>
      </c>
      <c r="D36" s="1" t="s">
        <v>6</v>
      </c>
      <c r="E36" s="1">
        <v>45000</v>
      </c>
      <c r="F36" s="1" t="s">
        <v>7</v>
      </c>
      <c r="H36" s="1">
        <v>106</v>
      </c>
      <c r="I36" s="1">
        <f>INDEX(B35:F45,MATCH(H36,B35:B45,0),4)</f>
        <v>51000</v>
      </c>
    </row>
    <row r="37" spans="2:12" x14ac:dyDescent="0.4">
      <c r="B37" s="1">
        <v>102</v>
      </c>
      <c r="C37" s="1" t="s">
        <v>8</v>
      </c>
      <c r="D37" s="1" t="s">
        <v>9</v>
      </c>
      <c r="E37" s="1">
        <v>52000</v>
      </c>
      <c r="F37" s="1" t="s">
        <v>10</v>
      </c>
    </row>
    <row r="38" spans="2:12" x14ac:dyDescent="0.4">
      <c r="B38" s="1">
        <v>103</v>
      </c>
      <c r="C38" s="1" t="s">
        <v>11</v>
      </c>
      <c r="D38" s="1" t="s">
        <v>12</v>
      </c>
      <c r="E38" s="1">
        <v>60000</v>
      </c>
      <c r="F38" s="1" t="s">
        <v>13</v>
      </c>
      <c r="H38" s="5" t="s">
        <v>0</v>
      </c>
      <c r="I38" s="5" t="s">
        <v>35</v>
      </c>
    </row>
    <row r="39" spans="2:12" x14ac:dyDescent="0.4">
      <c r="B39" s="1">
        <v>104</v>
      </c>
      <c r="C39" s="1" t="s">
        <v>14</v>
      </c>
      <c r="D39" s="1" t="s">
        <v>15</v>
      </c>
      <c r="E39" s="1">
        <v>48000</v>
      </c>
      <c r="F39" s="1" t="s">
        <v>7</v>
      </c>
      <c r="H39" s="1">
        <v>106</v>
      </c>
      <c r="I39" s="1" t="str">
        <f>INDEX(B35:F45,MATCH(H39,B35:B45,0),MATCH(I38,B35:F35,0))</f>
        <v>Sheetal</v>
      </c>
    </row>
    <row r="40" spans="2:12" x14ac:dyDescent="0.4">
      <c r="B40" s="1">
        <v>105</v>
      </c>
      <c r="C40" s="1" t="s">
        <v>16</v>
      </c>
      <c r="D40" s="1" t="s">
        <v>6</v>
      </c>
      <c r="E40" s="1">
        <v>55000</v>
      </c>
      <c r="F40" s="1" t="s">
        <v>17</v>
      </c>
    </row>
    <row r="41" spans="2:12" x14ac:dyDescent="0.4">
      <c r="B41" s="1">
        <v>106</v>
      </c>
      <c r="C41" s="1" t="s">
        <v>18</v>
      </c>
      <c r="D41" s="1" t="s">
        <v>9</v>
      </c>
      <c r="E41" s="1">
        <v>51000</v>
      </c>
      <c r="F41" s="1" t="s">
        <v>13</v>
      </c>
      <c r="H41" s="5" t="s">
        <v>1</v>
      </c>
      <c r="I41" s="5" t="s">
        <v>0</v>
      </c>
    </row>
    <row r="42" spans="2:12" x14ac:dyDescent="0.4">
      <c r="B42" s="1">
        <v>107</v>
      </c>
      <c r="C42" s="1" t="s">
        <v>19</v>
      </c>
      <c r="D42" s="1" t="s">
        <v>12</v>
      </c>
      <c r="E42" s="1">
        <v>62000</v>
      </c>
      <c r="F42" s="1" t="s">
        <v>10</v>
      </c>
      <c r="H42" s="1" t="s">
        <v>11</v>
      </c>
      <c r="I42" s="1">
        <f>INDEX(B35:F45,MATCH(H42,C35:C45,0),1)</f>
        <v>103</v>
      </c>
    </row>
    <row r="43" spans="2:12" x14ac:dyDescent="0.4">
      <c r="B43" s="1">
        <v>108</v>
      </c>
      <c r="C43" s="1" t="s">
        <v>20</v>
      </c>
      <c r="D43" s="1" t="s">
        <v>21</v>
      </c>
      <c r="E43" s="1">
        <v>70000</v>
      </c>
      <c r="F43" s="1" t="s">
        <v>22</v>
      </c>
    </row>
    <row r="44" spans="2:12" x14ac:dyDescent="0.4">
      <c r="B44" s="1">
        <v>109</v>
      </c>
      <c r="C44" s="1" t="s">
        <v>23</v>
      </c>
      <c r="D44" s="1" t="s">
        <v>12</v>
      </c>
      <c r="E44" s="1">
        <v>58000</v>
      </c>
      <c r="F44" s="1" t="s">
        <v>7</v>
      </c>
      <c r="H44" s="5" t="s">
        <v>0</v>
      </c>
      <c r="I44" s="5" t="s">
        <v>1</v>
      </c>
      <c r="J44" s="5" t="s">
        <v>2</v>
      </c>
      <c r="K44" s="5" t="s">
        <v>3</v>
      </c>
      <c r="L44" s="5" t="s">
        <v>4</v>
      </c>
    </row>
    <row r="45" spans="2:12" x14ac:dyDescent="0.4">
      <c r="B45" s="1">
        <v>110</v>
      </c>
      <c r="C45" s="1" t="s">
        <v>24</v>
      </c>
      <c r="D45" s="1" t="s">
        <v>15</v>
      </c>
      <c r="E45" s="1">
        <v>47000</v>
      </c>
      <c r="F45" s="1" t="s">
        <v>10</v>
      </c>
      <c r="H45" s="1">
        <v>106</v>
      </c>
      <c r="I45" s="1" t="str" cm="1">
        <f t="array" ref="I45:L45">INDEX(C35:F45,MATCH(H45,B35:B45,0),)</f>
        <v>Sheetal</v>
      </c>
      <c r="J45" s="1" t="str">
        <v>HR</v>
      </c>
      <c r="K45" s="1">
        <v>51000</v>
      </c>
      <c r="L45" s="1" t="str">
        <v>Pune</v>
      </c>
    </row>
    <row r="47" spans="2:12" x14ac:dyDescent="0.4">
      <c r="B47" s="5" t="s">
        <v>0</v>
      </c>
      <c r="C47" s="5" t="s">
        <v>1</v>
      </c>
      <c r="D47" s="5" t="s">
        <v>3</v>
      </c>
      <c r="E47" s="5" t="s">
        <v>4</v>
      </c>
    </row>
    <row r="48" spans="2:12" x14ac:dyDescent="0.4">
      <c r="B48">
        <v>102</v>
      </c>
      <c r="C48" t="str" cm="1">
        <f t="array" ref="C48:E48">INDEX(B35:F45,MATCH(B48,B35:B45,0),{2,4,5})</f>
        <v>Priya</v>
      </c>
      <c r="D48">
        <v>52000</v>
      </c>
      <c r="E48" t="str">
        <v>Delhi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1D11-5D41-4BFE-9D52-4166D3C238F0}">
  <dimension ref="A1:S45"/>
  <sheetViews>
    <sheetView workbookViewId="0">
      <pane ySplit="1" topLeftCell="A8" activePane="bottomLeft" state="frozen"/>
      <selection pane="bottomLeft" activeCell="I23" sqref="I23"/>
    </sheetView>
  </sheetViews>
  <sheetFormatPr defaultRowHeight="26.25" x14ac:dyDescent="0.4"/>
  <cols>
    <col min="1" max="1" width="2" customWidth="1"/>
    <col min="3" max="3" width="8.92578125" customWidth="1"/>
    <col min="4" max="4" width="10.7109375" customWidth="1"/>
    <col min="9" max="9" width="10.5" customWidth="1"/>
    <col min="10" max="10" width="10.28515625" customWidth="1"/>
  </cols>
  <sheetData>
    <row r="1" spans="1:19" ht="51.6" customHeight="1" thickBot="1" x14ac:dyDescent="0.45">
      <c r="A1" s="2"/>
      <c r="B1" s="4" t="s">
        <v>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</row>
    <row r="3" spans="1:19" x14ac:dyDescent="0.4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5" t="s">
        <v>0</v>
      </c>
      <c r="I3" s="5" t="s">
        <v>3</v>
      </c>
    </row>
    <row r="4" spans="1:19" x14ac:dyDescent="0.4">
      <c r="B4" s="1">
        <v>101</v>
      </c>
      <c r="C4" s="1" t="s">
        <v>5</v>
      </c>
      <c r="D4" s="1" t="s">
        <v>6</v>
      </c>
      <c r="E4" s="1">
        <v>45000</v>
      </c>
      <c r="F4" s="1" t="s">
        <v>7</v>
      </c>
      <c r="H4" s="1">
        <v>116</v>
      </c>
      <c r="I4" s="1" t="str">
        <f>_xlfn.XLOOKUP(H4,B3:B13,E3:E13,"not found")</f>
        <v>not found</v>
      </c>
    </row>
    <row r="5" spans="1:19" x14ac:dyDescent="0.4">
      <c r="B5" s="1">
        <v>102</v>
      </c>
      <c r="C5" s="1" t="s">
        <v>8</v>
      </c>
      <c r="D5" s="1" t="s">
        <v>9</v>
      </c>
      <c r="E5" s="1">
        <v>52000</v>
      </c>
      <c r="F5" s="1" t="s">
        <v>10</v>
      </c>
    </row>
    <row r="6" spans="1:19" x14ac:dyDescent="0.4">
      <c r="B6" s="1">
        <v>103</v>
      </c>
      <c r="C6" s="1" t="s">
        <v>11</v>
      </c>
      <c r="D6" s="1" t="s">
        <v>12</v>
      </c>
      <c r="E6" s="1">
        <v>60000</v>
      </c>
      <c r="F6" s="1" t="s">
        <v>13</v>
      </c>
      <c r="H6" s="5" t="s">
        <v>0</v>
      </c>
      <c r="I6" s="5" t="s">
        <v>2</v>
      </c>
    </row>
    <row r="7" spans="1:19" x14ac:dyDescent="0.4">
      <c r="B7" s="1">
        <v>104</v>
      </c>
      <c r="C7" s="1" t="s">
        <v>14</v>
      </c>
      <c r="D7" s="1" t="s">
        <v>15</v>
      </c>
      <c r="E7" s="1">
        <v>48000</v>
      </c>
      <c r="F7" s="1" t="s">
        <v>7</v>
      </c>
      <c r="H7" s="1">
        <v>106</v>
      </c>
      <c r="I7" s="1" t="str">
        <f>_xlfn.XLOOKUP(H7,B3:B13,D3:D13)</f>
        <v>HR</v>
      </c>
    </row>
    <row r="8" spans="1:19" x14ac:dyDescent="0.4">
      <c r="B8" s="1">
        <v>105</v>
      </c>
      <c r="C8" s="1" t="s">
        <v>16</v>
      </c>
      <c r="D8" s="1" t="s">
        <v>6</v>
      </c>
      <c r="E8" s="1">
        <v>55000</v>
      </c>
      <c r="F8" s="1" t="s">
        <v>17</v>
      </c>
    </row>
    <row r="9" spans="1:19" x14ac:dyDescent="0.4">
      <c r="B9" s="1">
        <v>106</v>
      </c>
      <c r="C9" s="1" t="s">
        <v>18</v>
      </c>
      <c r="D9" s="1" t="s">
        <v>9</v>
      </c>
      <c r="E9" s="1">
        <v>51000</v>
      </c>
      <c r="F9" s="1" t="s">
        <v>13</v>
      </c>
      <c r="H9" s="5" t="s">
        <v>1</v>
      </c>
      <c r="I9" s="5" t="s">
        <v>4</v>
      </c>
    </row>
    <row r="10" spans="1:19" x14ac:dyDescent="0.4">
      <c r="B10" s="1">
        <v>107</v>
      </c>
      <c r="C10" s="1" t="s">
        <v>19</v>
      </c>
      <c r="D10" s="1" t="s">
        <v>12</v>
      </c>
      <c r="E10" s="1">
        <v>62000</v>
      </c>
      <c r="F10" s="1" t="s">
        <v>10</v>
      </c>
      <c r="H10" s="1" t="s">
        <v>14</v>
      </c>
      <c r="I10" s="1" t="str">
        <f>_xlfn.XLOOKUP(H10,C3:C13,F3:F13)</f>
        <v>Mumbai</v>
      </c>
    </row>
    <row r="11" spans="1:19" x14ac:dyDescent="0.4">
      <c r="B11" s="1">
        <v>108</v>
      </c>
      <c r="C11" s="1" t="s">
        <v>20</v>
      </c>
      <c r="D11" s="1" t="s">
        <v>21</v>
      </c>
      <c r="E11" s="1">
        <v>70000</v>
      </c>
      <c r="F11" s="1" t="s">
        <v>22</v>
      </c>
    </row>
    <row r="12" spans="1:19" x14ac:dyDescent="0.4">
      <c r="B12" s="1">
        <v>109</v>
      </c>
      <c r="C12" s="1" t="s">
        <v>23</v>
      </c>
      <c r="D12" s="1" t="s">
        <v>12</v>
      </c>
      <c r="E12" s="1">
        <v>58000</v>
      </c>
      <c r="F12" s="1" t="s">
        <v>7</v>
      </c>
      <c r="H12" s="5" t="s">
        <v>1</v>
      </c>
      <c r="I12" s="5" t="s">
        <v>0</v>
      </c>
    </row>
    <row r="13" spans="1:19" x14ac:dyDescent="0.4">
      <c r="B13" s="1">
        <v>110</v>
      </c>
      <c r="C13" s="1" t="s">
        <v>24</v>
      </c>
      <c r="D13" s="1" t="s">
        <v>15</v>
      </c>
      <c r="E13" s="1">
        <v>47000</v>
      </c>
      <c r="F13" s="1" t="s">
        <v>10</v>
      </c>
      <c r="H13" s="1" t="s">
        <v>14</v>
      </c>
      <c r="I13" s="1">
        <f>_xlfn.XLOOKUP(H13,C3:C13,B3:B13)</f>
        <v>104</v>
      </c>
    </row>
    <row r="19" spans="2:12" x14ac:dyDescent="0.4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H19" s="5" t="s">
        <v>0</v>
      </c>
      <c r="I19" s="5" t="s">
        <v>1</v>
      </c>
      <c r="J19" s="5" t="s">
        <v>2</v>
      </c>
      <c r="K19" s="5" t="s">
        <v>3</v>
      </c>
      <c r="L19" s="5" t="s">
        <v>4</v>
      </c>
    </row>
    <row r="20" spans="2:12" x14ac:dyDescent="0.4">
      <c r="B20" s="1">
        <v>101</v>
      </c>
      <c r="C20" s="1" t="s">
        <v>5</v>
      </c>
      <c r="D20" s="1" t="s">
        <v>6</v>
      </c>
      <c r="E20" s="1">
        <v>45000</v>
      </c>
      <c r="F20" s="1" t="s">
        <v>7</v>
      </c>
      <c r="H20" s="1">
        <v>102</v>
      </c>
      <c r="I20" s="1" t="str" cm="1">
        <f t="array" ref="I20:L20">_xlfn.XLOOKUP(H20,B19:B29,C19:F29)</f>
        <v>Priya</v>
      </c>
      <c r="J20" s="1" t="str">
        <v>HR</v>
      </c>
      <c r="K20" s="1">
        <v>52000</v>
      </c>
      <c r="L20" s="1" t="str">
        <v>Delhi</v>
      </c>
    </row>
    <row r="21" spans="2:12" x14ac:dyDescent="0.4">
      <c r="B21" s="1">
        <v>102</v>
      </c>
      <c r="C21" s="1" t="s">
        <v>8</v>
      </c>
      <c r="D21" s="1" t="s">
        <v>9</v>
      </c>
      <c r="E21" s="1">
        <v>52000</v>
      </c>
      <c r="F21" s="1" t="s">
        <v>10</v>
      </c>
    </row>
    <row r="22" spans="2:12" x14ac:dyDescent="0.4">
      <c r="B22" s="1">
        <v>103</v>
      </c>
      <c r="C22" s="1" t="s">
        <v>11</v>
      </c>
      <c r="D22" s="1" t="s">
        <v>12</v>
      </c>
      <c r="E22" s="1">
        <v>60000</v>
      </c>
      <c r="F22" s="1" t="s">
        <v>13</v>
      </c>
      <c r="H22" s="5" t="s">
        <v>0</v>
      </c>
      <c r="I22" s="5" t="s">
        <v>2</v>
      </c>
      <c r="J22" s="5" t="s">
        <v>4</v>
      </c>
    </row>
    <row r="23" spans="2:12" x14ac:dyDescent="0.4">
      <c r="B23" s="1">
        <v>104</v>
      </c>
      <c r="C23" s="1" t="s">
        <v>14</v>
      </c>
      <c r="D23" s="1" t="s">
        <v>15</v>
      </c>
      <c r="E23" s="1">
        <v>48000</v>
      </c>
      <c r="F23" s="1" t="s">
        <v>7</v>
      </c>
      <c r="H23" s="1">
        <v>107</v>
      </c>
      <c r="I23" s="1" t="str" cm="1">
        <f t="array" ref="I23:J23">_xlfn.XLOOKUP(H23,B19:B29,CHOOSE({1,2},D19:D29,F19:F29))</f>
        <v>Finance</v>
      </c>
      <c r="J23" s="1" t="str">
        <v>Delhi</v>
      </c>
    </row>
    <row r="24" spans="2:12" x14ac:dyDescent="0.4">
      <c r="B24" s="1">
        <v>105</v>
      </c>
      <c r="C24" s="1" t="s">
        <v>16</v>
      </c>
      <c r="D24" s="1" t="s">
        <v>6</v>
      </c>
      <c r="E24" s="1">
        <v>55000</v>
      </c>
      <c r="F24" s="1" t="s">
        <v>17</v>
      </c>
    </row>
    <row r="25" spans="2:12" x14ac:dyDescent="0.4">
      <c r="B25" s="1">
        <v>106</v>
      </c>
      <c r="C25" s="1" t="s">
        <v>18</v>
      </c>
      <c r="D25" s="1" t="s">
        <v>9</v>
      </c>
      <c r="E25" s="1">
        <v>51000</v>
      </c>
      <c r="F25" s="1" t="s">
        <v>13</v>
      </c>
    </row>
    <row r="26" spans="2:12" x14ac:dyDescent="0.4">
      <c r="B26" s="1">
        <v>107</v>
      </c>
      <c r="C26" s="1" t="s">
        <v>19</v>
      </c>
      <c r="D26" s="1" t="s">
        <v>12</v>
      </c>
      <c r="E26" s="1">
        <v>62000</v>
      </c>
      <c r="F26" s="1" t="s">
        <v>10</v>
      </c>
    </row>
    <row r="27" spans="2:12" x14ac:dyDescent="0.4">
      <c r="B27" s="1">
        <v>108</v>
      </c>
      <c r="C27" s="1" t="s">
        <v>20</v>
      </c>
      <c r="D27" s="1" t="s">
        <v>21</v>
      </c>
      <c r="E27" s="1">
        <v>70000</v>
      </c>
      <c r="F27" s="1" t="s">
        <v>22</v>
      </c>
    </row>
    <row r="28" spans="2:12" x14ac:dyDescent="0.4">
      <c r="B28" s="1">
        <v>109</v>
      </c>
      <c r="C28" s="1" t="s">
        <v>23</v>
      </c>
      <c r="D28" s="1" t="s">
        <v>12</v>
      </c>
      <c r="E28" s="1">
        <v>58000</v>
      </c>
      <c r="F28" s="1" t="s">
        <v>7</v>
      </c>
    </row>
    <row r="29" spans="2:12" x14ac:dyDescent="0.4">
      <c r="B29" s="1">
        <v>110</v>
      </c>
      <c r="C29" s="1" t="s">
        <v>24</v>
      </c>
      <c r="D29" s="1" t="s">
        <v>15</v>
      </c>
      <c r="E29" s="1">
        <v>47000</v>
      </c>
      <c r="F29" s="1" t="s">
        <v>10</v>
      </c>
    </row>
    <row r="35" spans="2:6" x14ac:dyDescent="0.4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</row>
    <row r="36" spans="2:6" x14ac:dyDescent="0.4">
      <c r="B36" s="1">
        <v>101</v>
      </c>
      <c r="C36" s="1" t="s">
        <v>5</v>
      </c>
      <c r="D36" s="1" t="s">
        <v>6</v>
      </c>
      <c r="E36" s="1">
        <v>45000</v>
      </c>
      <c r="F36" s="1" t="s">
        <v>7</v>
      </c>
    </row>
    <row r="37" spans="2:6" x14ac:dyDescent="0.4">
      <c r="B37" s="1">
        <v>102</v>
      </c>
      <c r="C37" s="1" t="s">
        <v>8</v>
      </c>
      <c r="D37" s="1" t="s">
        <v>9</v>
      </c>
      <c r="E37" s="1">
        <v>52000</v>
      </c>
      <c r="F37" s="1" t="s">
        <v>10</v>
      </c>
    </row>
    <row r="38" spans="2:6" x14ac:dyDescent="0.4">
      <c r="B38" s="1">
        <v>103</v>
      </c>
      <c r="C38" s="1" t="s">
        <v>11</v>
      </c>
      <c r="D38" s="1" t="s">
        <v>12</v>
      </c>
      <c r="E38" s="1">
        <v>60000</v>
      </c>
      <c r="F38" s="1" t="s">
        <v>13</v>
      </c>
    </row>
    <row r="39" spans="2:6" x14ac:dyDescent="0.4">
      <c r="B39" s="1">
        <v>104</v>
      </c>
      <c r="C39" s="1" t="s">
        <v>14</v>
      </c>
      <c r="D39" s="1" t="s">
        <v>15</v>
      </c>
      <c r="E39" s="1">
        <v>48000</v>
      </c>
      <c r="F39" s="1" t="s">
        <v>7</v>
      </c>
    </row>
    <row r="40" spans="2:6" x14ac:dyDescent="0.4">
      <c r="B40" s="1">
        <v>105</v>
      </c>
      <c r="C40" s="1" t="s">
        <v>16</v>
      </c>
      <c r="D40" s="1" t="s">
        <v>6</v>
      </c>
      <c r="E40" s="1">
        <v>55000</v>
      </c>
      <c r="F40" s="1" t="s">
        <v>17</v>
      </c>
    </row>
    <row r="41" spans="2:6" x14ac:dyDescent="0.4">
      <c r="B41" s="1">
        <v>106</v>
      </c>
      <c r="C41" s="1" t="s">
        <v>18</v>
      </c>
      <c r="D41" s="1" t="s">
        <v>9</v>
      </c>
      <c r="E41" s="1">
        <v>51000</v>
      </c>
      <c r="F41" s="1" t="s">
        <v>13</v>
      </c>
    </row>
    <row r="42" spans="2:6" x14ac:dyDescent="0.4">
      <c r="B42" s="1">
        <v>107</v>
      </c>
      <c r="C42" s="1" t="s">
        <v>19</v>
      </c>
      <c r="D42" s="1" t="s">
        <v>12</v>
      </c>
      <c r="E42" s="1">
        <v>62000</v>
      </c>
      <c r="F42" s="1" t="s">
        <v>10</v>
      </c>
    </row>
    <row r="43" spans="2:6" x14ac:dyDescent="0.4">
      <c r="B43" s="1">
        <v>108</v>
      </c>
      <c r="C43" s="1" t="s">
        <v>20</v>
      </c>
      <c r="D43" s="1" t="s">
        <v>21</v>
      </c>
      <c r="E43" s="1">
        <v>70000</v>
      </c>
      <c r="F43" s="1" t="s">
        <v>22</v>
      </c>
    </row>
    <row r="44" spans="2:6" x14ac:dyDescent="0.4">
      <c r="B44" s="1">
        <v>109</v>
      </c>
      <c r="C44" s="1" t="s">
        <v>23</v>
      </c>
      <c r="D44" s="1" t="s">
        <v>12</v>
      </c>
      <c r="E44" s="1">
        <v>58000</v>
      </c>
      <c r="F44" s="1" t="s">
        <v>7</v>
      </c>
    </row>
    <row r="45" spans="2:6" x14ac:dyDescent="0.4">
      <c r="B45" s="1">
        <v>110</v>
      </c>
      <c r="C45" s="1" t="s">
        <v>24</v>
      </c>
      <c r="D45" s="1" t="s">
        <v>15</v>
      </c>
      <c r="E45" s="1">
        <v>47000</v>
      </c>
      <c r="F45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F6CA-CA9D-4FA3-8586-69EF0E5E9A20}">
  <dimension ref="A1:S13"/>
  <sheetViews>
    <sheetView workbookViewId="0">
      <selection activeCell="I4" sqref="I4"/>
    </sheetView>
  </sheetViews>
  <sheetFormatPr defaultRowHeight="26.25" x14ac:dyDescent="0.4"/>
  <cols>
    <col min="1" max="1" width="2" customWidth="1"/>
    <col min="3" max="3" width="8.92578125" customWidth="1"/>
    <col min="4" max="4" width="10.7109375" customWidth="1"/>
    <col min="9" max="9" width="10.5" customWidth="1"/>
    <col min="10" max="10" width="10.28515625" customWidth="1"/>
  </cols>
  <sheetData>
    <row r="1" spans="1:19" ht="51.6" customHeight="1" thickBot="1" x14ac:dyDescent="0.45">
      <c r="A1" s="2"/>
      <c r="B1" s="4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</row>
    <row r="3" spans="1:19" x14ac:dyDescent="0.4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5" t="s">
        <v>1</v>
      </c>
      <c r="I3" s="5" t="s">
        <v>3</v>
      </c>
    </row>
    <row r="4" spans="1:19" x14ac:dyDescent="0.4">
      <c r="B4" s="1">
        <v>101</v>
      </c>
      <c r="C4" s="1" t="s">
        <v>5</v>
      </c>
      <c r="D4" s="1" t="s">
        <v>21</v>
      </c>
      <c r="E4" s="1">
        <v>45000</v>
      </c>
      <c r="F4" s="1" t="s">
        <v>7</v>
      </c>
      <c r="H4" s="1" t="s">
        <v>23</v>
      </c>
      <c r="I4" s="1">
        <f>VLOOKUP(H4,C3:F13,3,0)</f>
        <v>58000</v>
      </c>
    </row>
    <row r="5" spans="1:19" x14ac:dyDescent="0.4">
      <c r="B5" s="1">
        <v>102</v>
      </c>
      <c r="C5" s="1" t="s">
        <v>8</v>
      </c>
      <c r="D5" s="1" t="s">
        <v>9</v>
      </c>
      <c r="E5" s="1">
        <v>52000</v>
      </c>
      <c r="F5" s="1" t="s">
        <v>10</v>
      </c>
    </row>
    <row r="6" spans="1:19" x14ac:dyDescent="0.4">
      <c r="B6" s="1">
        <v>103</v>
      </c>
      <c r="C6" s="1" t="s">
        <v>11</v>
      </c>
      <c r="D6" s="1" t="s">
        <v>15</v>
      </c>
      <c r="E6" s="1">
        <v>60000</v>
      </c>
      <c r="F6" s="1" t="s">
        <v>13</v>
      </c>
    </row>
    <row r="7" spans="1:19" x14ac:dyDescent="0.4">
      <c r="B7" s="1">
        <v>104</v>
      </c>
      <c r="C7" s="1" t="s">
        <v>14</v>
      </c>
      <c r="D7" s="1" t="s">
        <v>15</v>
      </c>
      <c r="E7" s="1">
        <v>48000</v>
      </c>
      <c r="F7" s="1" t="s">
        <v>7</v>
      </c>
      <c r="H7" s="5" t="s">
        <v>1</v>
      </c>
      <c r="I7" s="5" t="s">
        <v>3</v>
      </c>
    </row>
    <row r="8" spans="1:19" x14ac:dyDescent="0.4">
      <c r="B8" s="1">
        <v>105</v>
      </c>
      <c r="C8" s="1" t="s">
        <v>16</v>
      </c>
      <c r="D8" s="1" t="s">
        <v>21</v>
      </c>
      <c r="E8" s="1">
        <v>55000</v>
      </c>
      <c r="F8" s="1" t="s">
        <v>17</v>
      </c>
      <c r="H8" s="1" t="s">
        <v>49</v>
      </c>
      <c r="I8" s="1">
        <f>_xlfn.XLOOKUP(H8,C3:C13,E3:E13)</f>
        <v>62000</v>
      </c>
    </row>
    <row r="9" spans="1:19" x14ac:dyDescent="0.4">
      <c r="B9" s="1">
        <v>106</v>
      </c>
      <c r="C9" s="1" t="s">
        <v>18</v>
      </c>
      <c r="D9" s="1" t="s">
        <v>9</v>
      </c>
      <c r="E9" s="1">
        <v>51000</v>
      </c>
      <c r="F9" s="1" t="s">
        <v>13</v>
      </c>
    </row>
    <row r="10" spans="1:19" x14ac:dyDescent="0.4">
      <c r="B10" s="1">
        <v>107</v>
      </c>
      <c r="C10" s="1" t="s">
        <v>19</v>
      </c>
      <c r="D10" s="1" t="s">
        <v>15</v>
      </c>
      <c r="E10" s="1">
        <v>62000</v>
      </c>
      <c r="F10" s="1" t="s">
        <v>10</v>
      </c>
    </row>
    <row r="11" spans="1:19" x14ac:dyDescent="0.4">
      <c r="B11" s="1">
        <v>108</v>
      </c>
      <c r="C11" s="1" t="s">
        <v>20</v>
      </c>
      <c r="D11" s="1" t="s">
        <v>21</v>
      </c>
      <c r="E11" s="1">
        <v>70000</v>
      </c>
      <c r="F11" s="1" t="s">
        <v>22</v>
      </c>
    </row>
    <row r="12" spans="1:19" x14ac:dyDescent="0.4">
      <c r="B12" s="1">
        <v>109</v>
      </c>
      <c r="C12" s="1" t="s">
        <v>23</v>
      </c>
      <c r="D12" s="1" t="s">
        <v>21</v>
      </c>
      <c r="E12" s="1">
        <v>58000</v>
      </c>
      <c r="F12" s="1" t="s">
        <v>7</v>
      </c>
    </row>
    <row r="13" spans="1:19" x14ac:dyDescent="0.4">
      <c r="B13" s="1">
        <v>110</v>
      </c>
      <c r="C13" s="1" t="s">
        <v>24</v>
      </c>
      <c r="D13" s="1" t="s">
        <v>15</v>
      </c>
      <c r="E13" s="1">
        <v>47000</v>
      </c>
      <c r="F13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A86B-1BB8-41E5-AF62-090E897D1D2B}">
  <dimension ref="A1:S97"/>
  <sheetViews>
    <sheetView tabSelected="1" workbookViewId="0">
      <pane ySplit="1" topLeftCell="A50" activePane="bottomLeft" state="frozen"/>
      <selection pane="bottomLeft" activeCell="H56" sqref="H56"/>
    </sheetView>
  </sheetViews>
  <sheetFormatPr defaultRowHeight="26.25" x14ac:dyDescent="0.4"/>
  <cols>
    <col min="1" max="1" width="2" customWidth="1"/>
    <col min="3" max="3" width="8.92578125" customWidth="1"/>
    <col min="4" max="4" width="10.7109375" customWidth="1"/>
    <col min="9" max="9" width="10.5" customWidth="1"/>
    <col min="10" max="10" width="10.28515625" customWidth="1"/>
  </cols>
  <sheetData>
    <row r="1" spans="1:19" ht="51.6" customHeight="1" thickBot="1" x14ac:dyDescent="0.45">
      <c r="A1" s="2"/>
      <c r="B1" s="4" t="s">
        <v>36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</row>
    <row r="3" spans="1:19" x14ac:dyDescent="0.4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6" t="s">
        <v>43</v>
      </c>
    </row>
    <row r="4" spans="1:19" x14ac:dyDescent="0.4">
      <c r="B4" s="1">
        <v>101</v>
      </c>
      <c r="C4" s="1" t="s">
        <v>5</v>
      </c>
      <c r="D4" s="1" t="s">
        <v>21</v>
      </c>
      <c r="E4" s="1">
        <v>45000</v>
      </c>
      <c r="F4" s="1" t="s">
        <v>7</v>
      </c>
    </row>
    <row r="5" spans="1:19" x14ac:dyDescent="0.4">
      <c r="B5" s="1">
        <v>102</v>
      </c>
      <c r="C5" s="1" t="s">
        <v>8</v>
      </c>
      <c r="D5" s="1" t="s">
        <v>9</v>
      </c>
      <c r="E5" s="1">
        <v>52000</v>
      </c>
      <c r="F5" s="1" t="s">
        <v>10</v>
      </c>
      <c r="H5" t="s">
        <v>9</v>
      </c>
    </row>
    <row r="6" spans="1:19" x14ac:dyDescent="0.4">
      <c r="B6" s="1">
        <v>103</v>
      </c>
      <c r="C6" s="1" t="s">
        <v>11</v>
      </c>
      <c r="D6" s="1" t="s">
        <v>15</v>
      </c>
      <c r="E6" s="1">
        <v>60000</v>
      </c>
      <c r="F6" s="1" t="s">
        <v>13</v>
      </c>
    </row>
    <row r="7" spans="1:19" x14ac:dyDescent="0.4">
      <c r="B7" s="1">
        <v>104</v>
      </c>
      <c r="C7" s="1" t="s">
        <v>28</v>
      </c>
      <c r="D7" s="1" t="s">
        <v>15</v>
      </c>
      <c r="E7" s="1">
        <v>48000</v>
      </c>
      <c r="F7" s="1" t="s">
        <v>7</v>
      </c>
      <c r="H7" s="5" t="s">
        <v>0</v>
      </c>
      <c r="I7" s="5" t="s">
        <v>1</v>
      </c>
      <c r="J7" s="5" t="s">
        <v>2</v>
      </c>
      <c r="K7" s="5" t="s">
        <v>3</v>
      </c>
      <c r="L7" s="5" t="s">
        <v>4</v>
      </c>
    </row>
    <row r="8" spans="1:19" x14ac:dyDescent="0.4">
      <c r="B8" s="1">
        <v>105</v>
      </c>
      <c r="C8" s="1" t="s">
        <v>16</v>
      </c>
      <c r="D8" s="1" t="s">
        <v>21</v>
      </c>
      <c r="E8" s="1">
        <v>55000</v>
      </c>
      <c r="F8" s="1" t="s">
        <v>17</v>
      </c>
      <c r="H8" cm="1">
        <f t="array" ref="H8:L10">_xlfn._xlws.FILTER(B3:F17,D3:D17=H5,"NOT FOUND")</f>
        <v>102</v>
      </c>
      <c r="I8" t="str">
        <v>Priya</v>
      </c>
      <c r="J8" t="str">
        <v>HR</v>
      </c>
      <c r="K8">
        <v>52000</v>
      </c>
      <c r="L8" t="str">
        <v>Delhi</v>
      </c>
    </row>
    <row r="9" spans="1:19" x14ac:dyDescent="0.4">
      <c r="B9" s="1">
        <v>106</v>
      </c>
      <c r="C9" s="1" t="s">
        <v>18</v>
      </c>
      <c r="D9" s="1" t="s">
        <v>9</v>
      </c>
      <c r="E9" s="1">
        <v>51000</v>
      </c>
      <c r="F9" s="1" t="s">
        <v>13</v>
      </c>
      <c r="H9">
        <v>106</v>
      </c>
      <c r="I9" t="str">
        <v>Sheetal</v>
      </c>
      <c r="J9" t="str">
        <v>HR</v>
      </c>
      <c r="K9">
        <v>51000</v>
      </c>
      <c r="L9" t="str">
        <v>Pune</v>
      </c>
    </row>
    <row r="10" spans="1:19" x14ac:dyDescent="0.4">
      <c r="B10" s="1">
        <v>107</v>
      </c>
      <c r="C10" s="1" t="s">
        <v>29</v>
      </c>
      <c r="D10" s="1" t="s">
        <v>15</v>
      </c>
      <c r="E10" s="1">
        <v>62000</v>
      </c>
      <c r="F10" s="1" t="s">
        <v>10</v>
      </c>
      <c r="H10">
        <v>112</v>
      </c>
      <c r="I10" t="str">
        <v>Tinku</v>
      </c>
      <c r="J10" t="str">
        <v>HR</v>
      </c>
      <c r="K10">
        <v>70000</v>
      </c>
      <c r="L10" t="str">
        <v>Mumbai</v>
      </c>
    </row>
    <row r="11" spans="1:19" x14ac:dyDescent="0.4">
      <c r="B11" s="1">
        <v>108</v>
      </c>
      <c r="C11" s="1" t="s">
        <v>20</v>
      </c>
      <c r="D11" s="1" t="s">
        <v>21</v>
      </c>
      <c r="E11" s="1">
        <v>70000</v>
      </c>
      <c r="F11" s="1" t="s">
        <v>7</v>
      </c>
    </row>
    <row r="12" spans="1:19" x14ac:dyDescent="0.4">
      <c r="B12" s="1">
        <v>109</v>
      </c>
      <c r="C12" s="1" t="s">
        <v>23</v>
      </c>
      <c r="D12" s="1" t="s">
        <v>21</v>
      </c>
      <c r="E12" s="1">
        <v>58000</v>
      </c>
      <c r="F12" s="1" t="s">
        <v>7</v>
      </c>
    </row>
    <row r="13" spans="1:19" x14ac:dyDescent="0.4">
      <c r="B13" s="1">
        <v>110</v>
      </c>
      <c r="C13" s="1" t="s">
        <v>24</v>
      </c>
      <c r="D13" s="1" t="s">
        <v>15</v>
      </c>
      <c r="E13" s="1">
        <v>51000</v>
      </c>
      <c r="F13" s="1" t="s">
        <v>13</v>
      </c>
    </row>
    <row r="14" spans="1:19" x14ac:dyDescent="0.4">
      <c r="B14" s="1">
        <v>111</v>
      </c>
      <c r="C14" s="1" t="s">
        <v>37</v>
      </c>
      <c r="D14" s="1" t="s">
        <v>21</v>
      </c>
      <c r="E14" s="1">
        <v>62000</v>
      </c>
      <c r="F14" s="1" t="s">
        <v>10</v>
      </c>
    </row>
    <row r="15" spans="1:19" x14ac:dyDescent="0.4">
      <c r="B15" s="1">
        <v>112</v>
      </c>
      <c r="C15" s="1" t="s">
        <v>38</v>
      </c>
      <c r="D15" s="1" t="s">
        <v>9</v>
      </c>
      <c r="E15" s="1">
        <v>70000</v>
      </c>
      <c r="F15" s="1" t="s">
        <v>7</v>
      </c>
    </row>
    <row r="16" spans="1:19" x14ac:dyDescent="0.4">
      <c r="B16" s="1">
        <v>113</v>
      </c>
      <c r="C16" s="1" t="s">
        <v>39</v>
      </c>
      <c r="D16" s="1" t="s">
        <v>15</v>
      </c>
      <c r="E16" s="1">
        <v>58000</v>
      </c>
      <c r="F16" s="1" t="s">
        <v>7</v>
      </c>
    </row>
    <row r="17" spans="2:12" x14ac:dyDescent="0.4">
      <c r="B17" s="1">
        <v>114</v>
      </c>
      <c r="C17" s="1" t="s">
        <v>40</v>
      </c>
      <c r="D17" s="1" t="s">
        <v>21</v>
      </c>
      <c r="E17" s="1">
        <v>70000</v>
      </c>
      <c r="F17" s="1" t="s">
        <v>10</v>
      </c>
    </row>
    <row r="19" spans="2:12" x14ac:dyDescent="0.4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H19" s="6" t="s">
        <v>42</v>
      </c>
    </row>
    <row r="20" spans="2:12" x14ac:dyDescent="0.4">
      <c r="B20" s="1">
        <v>101</v>
      </c>
      <c r="C20" s="1" t="s">
        <v>5</v>
      </c>
      <c r="D20" s="1" t="s">
        <v>21</v>
      </c>
      <c r="E20" s="1">
        <v>45000</v>
      </c>
      <c r="F20" s="1" t="s">
        <v>7</v>
      </c>
    </row>
    <row r="21" spans="2:12" x14ac:dyDescent="0.4">
      <c r="B21" s="1">
        <v>102</v>
      </c>
      <c r="C21" s="1" t="s">
        <v>8</v>
      </c>
      <c r="D21" s="1" t="s">
        <v>9</v>
      </c>
      <c r="E21" s="1">
        <v>52000</v>
      </c>
      <c r="F21" s="1" t="s">
        <v>10</v>
      </c>
    </row>
    <row r="22" spans="2:12" x14ac:dyDescent="0.4">
      <c r="B22" s="1">
        <v>103</v>
      </c>
      <c r="C22" s="1" t="s">
        <v>11</v>
      </c>
      <c r="D22" s="1" t="s">
        <v>15</v>
      </c>
      <c r="E22" s="1">
        <v>60000</v>
      </c>
      <c r="F22" s="1" t="s">
        <v>13</v>
      </c>
    </row>
    <row r="23" spans="2:12" x14ac:dyDescent="0.4">
      <c r="B23" s="1">
        <v>104</v>
      </c>
      <c r="C23" s="1" t="s">
        <v>28</v>
      </c>
      <c r="D23" s="1" t="s">
        <v>15</v>
      </c>
      <c r="E23" s="1">
        <v>48000</v>
      </c>
      <c r="F23" s="1" t="s">
        <v>7</v>
      </c>
      <c r="H23" s="5" t="s">
        <v>0</v>
      </c>
      <c r="I23" s="5" t="s">
        <v>1</v>
      </c>
      <c r="J23" s="5" t="s">
        <v>2</v>
      </c>
      <c r="K23" s="5" t="s">
        <v>3</v>
      </c>
      <c r="L23" s="5" t="s">
        <v>4</v>
      </c>
    </row>
    <row r="24" spans="2:12" x14ac:dyDescent="0.4">
      <c r="B24" s="1">
        <v>105</v>
      </c>
      <c r="C24" s="1" t="s">
        <v>16</v>
      </c>
      <c r="D24" s="1" t="s">
        <v>21</v>
      </c>
      <c r="E24" s="1">
        <v>55000</v>
      </c>
      <c r="F24" s="1" t="s">
        <v>17</v>
      </c>
      <c r="H24" cm="1">
        <f t="array" ref="H24:L29">_xlfn._xlws.FILTER(B19:F33,F19:F33="mumbai")</f>
        <v>101</v>
      </c>
      <c r="I24" t="str">
        <v>Rohan</v>
      </c>
      <c r="J24" t="str">
        <v>IT</v>
      </c>
      <c r="K24">
        <v>45000</v>
      </c>
      <c r="L24" t="str">
        <v>Mumbai</v>
      </c>
    </row>
    <row r="25" spans="2:12" x14ac:dyDescent="0.4">
      <c r="B25" s="1">
        <v>106</v>
      </c>
      <c r="C25" s="1" t="s">
        <v>18</v>
      </c>
      <c r="D25" s="1" t="s">
        <v>9</v>
      </c>
      <c r="E25" s="1">
        <v>51000</v>
      </c>
      <c r="F25" s="1" t="s">
        <v>13</v>
      </c>
      <c r="H25">
        <v>104</v>
      </c>
      <c r="I25" t="str">
        <v xml:space="preserve">Neha </v>
      </c>
      <c r="J25" t="str">
        <v>Marketing</v>
      </c>
      <c r="K25">
        <v>48000</v>
      </c>
      <c r="L25" t="str">
        <v>Mumbai</v>
      </c>
    </row>
    <row r="26" spans="2:12" x14ac:dyDescent="0.4">
      <c r="B26" s="1">
        <v>107</v>
      </c>
      <c r="C26" s="1" t="s">
        <v>29</v>
      </c>
      <c r="D26" s="1" t="s">
        <v>15</v>
      </c>
      <c r="E26" s="1">
        <v>62000</v>
      </c>
      <c r="F26" s="1" t="s">
        <v>10</v>
      </c>
      <c r="H26">
        <v>108</v>
      </c>
      <c r="I26" t="str">
        <v>Kavya</v>
      </c>
      <c r="J26" t="str">
        <v>IT</v>
      </c>
      <c r="K26">
        <v>70000</v>
      </c>
      <c r="L26" t="str">
        <v>Mumbai</v>
      </c>
    </row>
    <row r="27" spans="2:12" x14ac:dyDescent="0.4">
      <c r="B27" s="1">
        <v>108</v>
      </c>
      <c r="C27" s="1" t="s">
        <v>20</v>
      </c>
      <c r="D27" s="1" t="s">
        <v>21</v>
      </c>
      <c r="E27" s="1">
        <v>70000</v>
      </c>
      <c r="F27" s="1" t="s">
        <v>7</v>
      </c>
      <c r="H27">
        <v>109</v>
      </c>
      <c r="I27" t="str">
        <v>Rahul</v>
      </c>
      <c r="J27" t="str">
        <v>IT</v>
      </c>
      <c r="K27">
        <v>58000</v>
      </c>
      <c r="L27" t="str">
        <v>Mumbai</v>
      </c>
    </row>
    <row r="28" spans="2:12" x14ac:dyDescent="0.4">
      <c r="B28" s="1">
        <v>109</v>
      </c>
      <c r="C28" s="1" t="s">
        <v>23</v>
      </c>
      <c r="D28" s="1" t="s">
        <v>21</v>
      </c>
      <c r="E28" s="1">
        <v>58000</v>
      </c>
      <c r="F28" s="1" t="s">
        <v>7</v>
      </c>
      <c r="H28">
        <v>112</v>
      </c>
      <c r="I28" t="str">
        <v>Tinku</v>
      </c>
      <c r="J28" t="str">
        <v>HR</v>
      </c>
      <c r="K28">
        <v>70000</v>
      </c>
      <c r="L28" t="str">
        <v>Mumbai</v>
      </c>
    </row>
    <row r="29" spans="2:12" x14ac:dyDescent="0.4">
      <c r="B29" s="1">
        <v>110</v>
      </c>
      <c r="C29" s="1" t="s">
        <v>24</v>
      </c>
      <c r="D29" s="1" t="s">
        <v>15</v>
      </c>
      <c r="E29" s="1">
        <v>51000</v>
      </c>
      <c r="F29" s="1" t="s">
        <v>13</v>
      </c>
      <c r="H29">
        <v>113</v>
      </c>
      <c r="I29" t="str">
        <v>Sumit</v>
      </c>
      <c r="J29" t="str">
        <v>Marketing</v>
      </c>
      <c r="K29">
        <v>58000</v>
      </c>
      <c r="L29" t="str">
        <v>Mumbai</v>
      </c>
    </row>
    <row r="30" spans="2:12" x14ac:dyDescent="0.4">
      <c r="B30" s="1">
        <v>111</v>
      </c>
      <c r="C30" s="1" t="s">
        <v>37</v>
      </c>
      <c r="D30" s="1" t="s">
        <v>21</v>
      </c>
      <c r="E30" s="1">
        <v>62000</v>
      </c>
      <c r="F30" s="1" t="s">
        <v>10</v>
      </c>
    </row>
    <row r="31" spans="2:12" x14ac:dyDescent="0.4">
      <c r="B31" s="1">
        <v>112</v>
      </c>
      <c r="C31" s="1" t="s">
        <v>38</v>
      </c>
      <c r="D31" s="1" t="s">
        <v>9</v>
      </c>
      <c r="E31" s="1">
        <v>70000</v>
      </c>
      <c r="F31" s="1" t="s">
        <v>7</v>
      </c>
    </row>
    <row r="32" spans="2:12" x14ac:dyDescent="0.4">
      <c r="B32" s="1">
        <v>113</v>
      </c>
      <c r="C32" s="1" t="s">
        <v>39</v>
      </c>
      <c r="D32" s="1" t="s">
        <v>15</v>
      </c>
      <c r="E32" s="1">
        <v>58000</v>
      </c>
      <c r="F32" s="1" t="s">
        <v>7</v>
      </c>
    </row>
    <row r="33" spans="2:8" x14ac:dyDescent="0.4">
      <c r="B33" s="1">
        <v>114</v>
      </c>
      <c r="C33" s="1" t="s">
        <v>40</v>
      </c>
      <c r="D33" s="1" t="s">
        <v>21</v>
      </c>
      <c r="E33" s="1">
        <v>70000</v>
      </c>
      <c r="F33" s="1" t="s">
        <v>10</v>
      </c>
    </row>
    <row r="35" spans="2:8" x14ac:dyDescent="0.4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H35" s="6" t="s">
        <v>48</v>
      </c>
    </row>
    <row r="36" spans="2:8" x14ac:dyDescent="0.4">
      <c r="B36" s="1">
        <v>101</v>
      </c>
      <c r="C36" s="1" t="s">
        <v>5</v>
      </c>
      <c r="D36" s="1" t="s">
        <v>21</v>
      </c>
      <c r="E36" s="1">
        <v>45000</v>
      </c>
      <c r="F36" s="1" t="s">
        <v>7</v>
      </c>
    </row>
    <row r="37" spans="2:8" x14ac:dyDescent="0.4">
      <c r="B37" s="1">
        <v>102</v>
      </c>
      <c r="C37" s="1" t="s">
        <v>8</v>
      </c>
      <c r="D37" s="1" t="s">
        <v>9</v>
      </c>
      <c r="E37" s="1">
        <v>52000</v>
      </c>
      <c r="F37" s="1" t="s">
        <v>10</v>
      </c>
    </row>
    <row r="38" spans="2:8" x14ac:dyDescent="0.4">
      <c r="B38" s="1">
        <v>103</v>
      </c>
      <c r="C38" s="1" t="s">
        <v>11</v>
      </c>
      <c r="D38" s="1" t="s">
        <v>15</v>
      </c>
      <c r="E38" s="1">
        <v>60000</v>
      </c>
      <c r="F38" s="1" t="s">
        <v>13</v>
      </c>
    </row>
    <row r="39" spans="2:8" x14ac:dyDescent="0.4">
      <c r="B39" s="1">
        <v>104</v>
      </c>
      <c r="C39" s="1" t="s">
        <v>28</v>
      </c>
      <c r="D39" s="1" t="s">
        <v>15</v>
      </c>
      <c r="E39" s="1">
        <v>48000</v>
      </c>
      <c r="F39" s="1" t="s">
        <v>7</v>
      </c>
      <c r="H39" s="5" t="s">
        <v>1</v>
      </c>
    </row>
    <row r="40" spans="2:8" x14ac:dyDescent="0.4">
      <c r="B40" s="1">
        <v>105</v>
      </c>
      <c r="C40" s="1" t="s">
        <v>16</v>
      </c>
      <c r="D40" s="1" t="s">
        <v>21</v>
      </c>
      <c r="E40" s="1">
        <v>55000</v>
      </c>
      <c r="F40" s="1" t="s">
        <v>17</v>
      </c>
      <c r="H40" t="str" cm="1">
        <f t="array" ref="H40:H45">_xlfn._xlws.FILTER(C35:C49,D35:D49="IT")</f>
        <v>Rohan</v>
      </c>
    </row>
    <row r="41" spans="2:8" x14ac:dyDescent="0.4">
      <c r="B41" s="1">
        <v>106</v>
      </c>
      <c r="C41" s="1" t="s">
        <v>18</v>
      </c>
      <c r="D41" s="1" t="s">
        <v>9</v>
      </c>
      <c r="E41" s="1">
        <v>51000</v>
      </c>
      <c r="F41" s="1" t="s">
        <v>13</v>
      </c>
      <c r="H41" t="str">
        <v>Karan</v>
      </c>
    </row>
    <row r="42" spans="2:8" x14ac:dyDescent="0.4">
      <c r="B42" s="1">
        <v>107</v>
      </c>
      <c r="C42" s="1" t="s">
        <v>29</v>
      </c>
      <c r="D42" s="1" t="s">
        <v>15</v>
      </c>
      <c r="E42" s="1">
        <v>62000</v>
      </c>
      <c r="F42" s="1" t="s">
        <v>10</v>
      </c>
      <c r="H42" t="str">
        <v>Kavya</v>
      </c>
    </row>
    <row r="43" spans="2:8" x14ac:dyDescent="0.4">
      <c r="B43" s="1">
        <v>108</v>
      </c>
      <c r="C43" s="1" t="s">
        <v>20</v>
      </c>
      <c r="D43" s="1" t="s">
        <v>21</v>
      </c>
      <c r="E43" s="1">
        <v>70000</v>
      </c>
      <c r="F43" s="1" t="s">
        <v>7</v>
      </c>
      <c r="H43" t="str">
        <v>Rahul</v>
      </c>
    </row>
    <row r="44" spans="2:8" x14ac:dyDescent="0.4">
      <c r="B44" s="1">
        <v>109</v>
      </c>
      <c r="C44" s="1" t="s">
        <v>23</v>
      </c>
      <c r="D44" s="1" t="s">
        <v>21</v>
      </c>
      <c r="E44" s="1">
        <v>58000</v>
      </c>
      <c r="F44" s="1" t="s">
        <v>7</v>
      </c>
      <c r="H44" t="str">
        <v>Sonu</v>
      </c>
    </row>
    <row r="45" spans="2:8" x14ac:dyDescent="0.4">
      <c r="B45" s="1">
        <v>110</v>
      </c>
      <c r="C45" s="1" t="s">
        <v>24</v>
      </c>
      <c r="D45" s="1" t="s">
        <v>15</v>
      </c>
      <c r="E45" s="1">
        <v>51000</v>
      </c>
      <c r="F45" s="1" t="s">
        <v>13</v>
      </c>
      <c r="H45" t="str">
        <v>Sunny</v>
      </c>
    </row>
    <row r="46" spans="2:8" x14ac:dyDescent="0.4">
      <c r="B46" s="1">
        <v>111</v>
      </c>
      <c r="C46" s="1" t="s">
        <v>37</v>
      </c>
      <c r="D46" s="1" t="s">
        <v>21</v>
      </c>
      <c r="E46" s="1">
        <v>62000</v>
      </c>
      <c r="F46" s="1" t="s">
        <v>10</v>
      </c>
    </row>
    <row r="47" spans="2:8" x14ac:dyDescent="0.4">
      <c r="B47" s="1">
        <v>112</v>
      </c>
      <c r="C47" s="1" t="s">
        <v>38</v>
      </c>
      <c r="D47" s="1" t="s">
        <v>9</v>
      </c>
      <c r="E47" s="1">
        <v>70000</v>
      </c>
      <c r="F47" s="1" t="s">
        <v>7</v>
      </c>
    </row>
    <row r="48" spans="2:8" x14ac:dyDescent="0.4">
      <c r="B48" s="1">
        <v>113</v>
      </c>
      <c r="C48" s="1" t="s">
        <v>39</v>
      </c>
      <c r="D48" s="1" t="s">
        <v>15</v>
      </c>
      <c r="E48" s="1">
        <v>58000</v>
      </c>
      <c r="F48" s="1" t="s">
        <v>7</v>
      </c>
    </row>
    <row r="49" spans="2:9" x14ac:dyDescent="0.4">
      <c r="B49" s="1">
        <v>114</v>
      </c>
      <c r="C49" s="1" t="s">
        <v>40</v>
      </c>
      <c r="D49" s="1" t="s">
        <v>21</v>
      </c>
      <c r="E49" s="1">
        <v>70000</v>
      </c>
      <c r="F49" s="1" t="s">
        <v>10</v>
      </c>
    </row>
    <row r="51" spans="2:9" x14ac:dyDescent="0.4">
      <c r="B51" s="5" t="s">
        <v>0</v>
      </c>
      <c r="C51" s="5" t="s">
        <v>1</v>
      </c>
      <c r="D51" s="5" t="s">
        <v>2</v>
      </c>
      <c r="E51" s="5" t="s">
        <v>3</v>
      </c>
      <c r="F51" s="5" t="s">
        <v>4</v>
      </c>
      <c r="H51" s="6" t="s">
        <v>47</v>
      </c>
    </row>
    <row r="52" spans="2:9" x14ac:dyDescent="0.4">
      <c r="B52" s="1">
        <v>101</v>
      </c>
      <c r="C52" s="1" t="s">
        <v>5</v>
      </c>
      <c r="D52" s="1" t="s">
        <v>21</v>
      </c>
      <c r="E52" s="1">
        <v>45000</v>
      </c>
      <c r="F52" s="1" t="s">
        <v>7</v>
      </c>
    </row>
    <row r="53" spans="2:9" x14ac:dyDescent="0.4">
      <c r="B53" s="1">
        <v>102</v>
      </c>
      <c r="C53" s="1" t="s">
        <v>8</v>
      </c>
      <c r="D53" s="1" t="s">
        <v>9</v>
      </c>
      <c r="E53" s="1">
        <v>52000</v>
      </c>
      <c r="F53" s="1" t="s">
        <v>10</v>
      </c>
    </row>
    <row r="54" spans="2:9" x14ac:dyDescent="0.4">
      <c r="B54" s="1">
        <v>103</v>
      </c>
      <c r="C54" s="1" t="s">
        <v>11</v>
      </c>
      <c r="D54" s="1" t="s">
        <v>15</v>
      </c>
      <c r="E54" s="1">
        <v>60000</v>
      </c>
      <c r="F54" s="1" t="s">
        <v>13</v>
      </c>
    </row>
    <row r="55" spans="2:9" x14ac:dyDescent="0.4">
      <c r="B55" s="1">
        <v>104</v>
      </c>
      <c r="C55" s="1" t="s">
        <v>28</v>
      </c>
      <c r="D55" s="1" t="s">
        <v>15</v>
      </c>
      <c r="E55" s="1">
        <v>48000</v>
      </c>
      <c r="F55" s="1" t="s">
        <v>7</v>
      </c>
      <c r="H55" s="5" t="s">
        <v>1</v>
      </c>
      <c r="I55" s="5" t="s">
        <v>3</v>
      </c>
    </row>
    <row r="56" spans="2:9" x14ac:dyDescent="0.4">
      <c r="B56" s="1">
        <v>105</v>
      </c>
      <c r="C56" s="1" t="s">
        <v>16</v>
      </c>
      <c r="D56" s="1" t="s">
        <v>21</v>
      </c>
      <c r="E56" s="1">
        <v>55000</v>
      </c>
      <c r="F56" s="1" t="s">
        <v>17</v>
      </c>
      <c r="H56" t="str" cm="1">
        <f t="array" ref="H56:I61">_xlfn._xlws.FILTER(CHOOSE({1,2},C51:C65,E51:E65),D51:D65="it")</f>
        <v>Rohan</v>
      </c>
      <c r="I56">
        <v>45000</v>
      </c>
    </row>
    <row r="57" spans="2:9" x14ac:dyDescent="0.4">
      <c r="B57" s="1">
        <v>106</v>
      </c>
      <c r="C57" s="1" t="s">
        <v>18</v>
      </c>
      <c r="D57" s="1" t="s">
        <v>9</v>
      </c>
      <c r="E57" s="1">
        <v>51000</v>
      </c>
      <c r="F57" s="1" t="s">
        <v>13</v>
      </c>
      <c r="H57" t="str">
        <v>Karan</v>
      </c>
      <c r="I57">
        <v>55000</v>
      </c>
    </row>
    <row r="58" spans="2:9" x14ac:dyDescent="0.4">
      <c r="B58" s="1">
        <v>107</v>
      </c>
      <c r="C58" s="1" t="s">
        <v>29</v>
      </c>
      <c r="D58" s="1" t="s">
        <v>15</v>
      </c>
      <c r="E58" s="1">
        <v>62000</v>
      </c>
      <c r="F58" s="1" t="s">
        <v>10</v>
      </c>
      <c r="H58" t="str">
        <v>Kavya</v>
      </c>
      <c r="I58">
        <v>70000</v>
      </c>
    </row>
    <row r="59" spans="2:9" x14ac:dyDescent="0.4">
      <c r="B59" s="1">
        <v>108</v>
      </c>
      <c r="C59" s="1" t="s">
        <v>20</v>
      </c>
      <c r="D59" s="1" t="s">
        <v>21</v>
      </c>
      <c r="E59" s="1">
        <v>70000</v>
      </c>
      <c r="F59" s="1" t="s">
        <v>7</v>
      </c>
      <c r="H59" t="str">
        <v>Rahul</v>
      </c>
      <c r="I59">
        <v>58000</v>
      </c>
    </row>
    <row r="60" spans="2:9" x14ac:dyDescent="0.4">
      <c r="B60" s="1">
        <v>109</v>
      </c>
      <c r="C60" s="1" t="s">
        <v>23</v>
      </c>
      <c r="D60" s="1" t="s">
        <v>21</v>
      </c>
      <c r="E60" s="1">
        <v>58000</v>
      </c>
      <c r="F60" s="1" t="s">
        <v>7</v>
      </c>
      <c r="H60" t="str">
        <v>Sonu</v>
      </c>
      <c r="I60">
        <v>62000</v>
      </c>
    </row>
    <row r="61" spans="2:9" x14ac:dyDescent="0.4">
      <c r="B61" s="1">
        <v>110</v>
      </c>
      <c r="C61" s="1" t="s">
        <v>24</v>
      </c>
      <c r="D61" s="1" t="s">
        <v>15</v>
      </c>
      <c r="E61" s="1">
        <v>51000</v>
      </c>
      <c r="F61" s="1" t="s">
        <v>13</v>
      </c>
      <c r="H61" t="str">
        <v>Sunny</v>
      </c>
      <c r="I61">
        <v>70000</v>
      </c>
    </row>
    <row r="62" spans="2:9" x14ac:dyDescent="0.4">
      <c r="B62" s="1">
        <v>111</v>
      </c>
      <c r="C62" s="1" t="s">
        <v>37</v>
      </c>
      <c r="D62" s="1" t="s">
        <v>21</v>
      </c>
      <c r="E62" s="1">
        <v>62000</v>
      </c>
      <c r="F62" s="1" t="s">
        <v>10</v>
      </c>
    </row>
    <row r="63" spans="2:9" x14ac:dyDescent="0.4">
      <c r="B63" s="1">
        <v>112</v>
      </c>
      <c r="C63" s="1" t="s">
        <v>38</v>
      </c>
      <c r="D63" s="1" t="s">
        <v>9</v>
      </c>
      <c r="E63" s="1">
        <v>70000</v>
      </c>
      <c r="F63" s="1" t="s">
        <v>7</v>
      </c>
    </row>
    <row r="64" spans="2:9" x14ac:dyDescent="0.4">
      <c r="B64" s="1">
        <v>113</v>
      </c>
      <c r="C64" s="1" t="s">
        <v>39</v>
      </c>
      <c r="D64" s="1" t="s">
        <v>15</v>
      </c>
      <c r="E64" s="1">
        <v>58000</v>
      </c>
      <c r="F64" s="1" t="s">
        <v>7</v>
      </c>
    </row>
    <row r="65" spans="2:12" x14ac:dyDescent="0.4">
      <c r="B65" s="1">
        <v>114</v>
      </c>
      <c r="C65" s="1" t="s">
        <v>40</v>
      </c>
      <c r="D65" s="1" t="s">
        <v>21</v>
      </c>
      <c r="E65" s="1">
        <v>70000</v>
      </c>
      <c r="F65" s="1" t="s">
        <v>10</v>
      </c>
    </row>
    <row r="67" spans="2:12" x14ac:dyDescent="0.4">
      <c r="B67" s="5" t="s">
        <v>0</v>
      </c>
      <c r="C67" s="5" t="s">
        <v>1</v>
      </c>
      <c r="D67" s="5" t="s">
        <v>2</v>
      </c>
      <c r="E67" s="5" t="s">
        <v>3</v>
      </c>
      <c r="F67" s="5" t="s">
        <v>4</v>
      </c>
      <c r="H67" s="6" t="s">
        <v>44</v>
      </c>
    </row>
    <row r="68" spans="2:12" x14ac:dyDescent="0.4">
      <c r="B68" s="1">
        <v>101</v>
      </c>
      <c r="C68" s="1" t="s">
        <v>5</v>
      </c>
      <c r="D68" s="1" t="s">
        <v>21</v>
      </c>
      <c r="E68" s="1">
        <v>45000</v>
      </c>
      <c r="F68" s="1" t="s">
        <v>7</v>
      </c>
    </row>
    <row r="69" spans="2:12" x14ac:dyDescent="0.4">
      <c r="B69" s="1">
        <v>102</v>
      </c>
      <c r="C69" s="1" t="s">
        <v>8</v>
      </c>
      <c r="D69" s="1" t="s">
        <v>9</v>
      </c>
      <c r="E69" s="1">
        <v>52000</v>
      </c>
      <c r="F69" s="1" t="s">
        <v>10</v>
      </c>
    </row>
    <row r="70" spans="2:12" x14ac:dyDescent="0.4">
      <c r="B70" s="1">
        <v>103</v>
      </c>
      <c r="C70" s="1" t="s">
        <v>11</v>
      </c>
      <c r="D70" s="1" t="s">
        <v>15</v>
      </c>
      <c r="E70" s="1">
        <v>60000</v>
      </c>
      <c r="F70" s="1" t="s">
        <v>13</v>
      </c>
    </row>
    <row r="71" spans="2:12" x14ac:dyDescent="0.4">
      <c r="B71" s="1">
        <v>104</v>
      </c>
      <c r="C71" s="1" t="s">
        <v>28</v>
      </c>
      <c r="D71" s="1" t="s">
        <v>15</v>
      </c>
      <c r="E71" s="1">
        <v>48000</v>
      </c>
      <c r="F71" s="1" t="s">
        <v>7</v>
      </c>
      <c r="H71" s="5" t="s">
        <v>0</v>
      </c>
      <c r="I71" s="5" t="s">
        <v>1</v>
      </c>
      <c r="J71" s="5" t="s">
        <v>2</v>
      </c>
      <c r="K71" s="5" t="s">
        <v>3</v>
      </c>
      <c r="L71" s="5" t="s">
        <v>4</v>
      </c>
    </row>
    <row r="72" spans="2:12" x14ac:dyDescent="0.4">
      <c r="B72" s="1">
        <v>105</v>
      </c>
      <c r="C72" s="1" t="s">
        <v>16</v>
      </c>
      <c r="D72" s="1" t="s">
        <v>21</v>
      </c>
      <c r="E72" s="1">
        <v>55000</v>
      </c>
      <c r="F72" s="1" t="s">
        <v>17</v>
      </c>
      <c r="H72" cm="1">
        <f t="array" ref="H72:L76">_xlfn._xlws.FILTER(B67:F81,E67:E81&lt;55000)</f>
        <v>101</v>
      </c>
      <c r="I72" t="str">
        <v>Rohan</v>
      </c>
      <c r="J72" t="str">
        <v>IT</v>
      </c>
      <c r="K72">
        <v>45000</v>
      </c>
      <c r="L72" t="str">
        <v>Mumbai</v>
      </c>
    </row>
    <row r="73" spans="2:12" x14ac:dyDescent="0.4">
      <c r="B73" s="1">
        <v>106</v>
      </c>
      <c r="C73" s="1" t="s">
        <v>18</v>
      </c>
      <c r="D73" s="1" t="s">
        <v>9</v>
      </c>
      <c r="E73" s="1">
        <v>51000</v>
      </c>
      <c r="F73" s="1" t="s">
        <v>13</v>
      </c>
      <c r="H73">
        <v>102</v>
      </c>
      <c r="I73" t="str">
        <v>Priya</v>
      </c>
      <c r="J73" t="str">
        <v>HR</v>
      </c>
      <c r="K73">
        <v>52000</v>
      </c>
      <c r="L73" t="str">
        <v>Delhi</v>
      </c>
    </row>
    <row r="74" spans="2:12" x14ac:dyDescent="0.4">
      <c r="B74" s="1">
        <v>107</v>
      </c>
      <c r="C74" s="1" t="s">
        <v>29</v>
      </c>
      <c r="D74" s="1" t="s">
        <v>15</v>
      </c>
      <c r="E74" s="1">
        <v>62000</v>
      </c>
      <c r="F74" s="1" t="s">
        <v>10</v>
      </c>
      <c r="H74">
        <v>104</v>
      </c>
      <c r="I74" t="str">
        <v xml:space="preserve">Neha </v>
      </c>
      <c r="J74" t="str">
        <v>Marketing</v>
      </c>
      <c r="K74">
        <v>48000</v>
      </c>
      <c r="L74" t="str">
        <v>Mumbai</v>
      </c>
    </row>
    <row r="75" spans="2:12" x14ac:dyDescent="0.4">
      <c r="B75" s="1">
        <v>108</v>
      </c>
      <c r="C75" s="1" t="s">
        <v>20</v>
      </c>
      <c r="D75" s="1" t="s">
        <v>21</v>
      </c>
      <c r="E75" s="1">
        <v>70000</v>
      </c>
      <c r="F75" s="1" t="s">
        <v>7</v>
      </c>
      <c r="H75">
        <v>106</v>
      </c>
      <c r="I75" t="str">
        <v>Sheetal</v>
      </c>
      <c r="J75" t="str">
        <v>HR</v>
      </c>
      <c r="K75">
        <v>51000</v>
      </c>
      <c r="L75" t="str">
        <v>Pune</v>
      </c>
    </row>
    <row r="76" spans="2:12" x14ac:dyDescent="0.4">
      <c r="B76" s="1">
        <v>109</v>
      </c>
      <c r="C76" s="1" t="s">
        <v>23</v>
      </c>
      <c r="D76" s="1" t="s">
        <v>21</v>
      </c>
      <c r="E76" s="1">
        <v>58000</v>
      </c>
      <c r="F76" s="1" t="s">
        <v>7</v>
      </c>
      <c r="H76">
        <v>110</v>
      </c>
      <c r="I76" t="str">
        <v>Sneha</v>
      </c>
      <c r="J76" t="str">
        <v>Marketing</v>
      </c>
      <c r="K76">
        <v>51000</v>
      </c>
      <c r="L76" t="str">
        <v>Pune</v>
      </c>
    </row>
    <row r="77" spans="2:12" x14ac:dyDescent="0.4">
      <c r="B77" s="1">
        <v>110</v>
      </c>
      <c r="C77" s="1" t="s">
        <v>24</v>
      </c>
      <c r="D77" s="1" t="s">
        <v>15</v>
      </c>
      <c r="E77" s="1">
        <v>51000</v>
      </c>
      <c r="F77" s="1" t="s">
        <v>13</v>
      </c>
    </row>
    <row r="78" spans="2:12" x14ac:dyDescent="0.4">
      <c r="B78" s="1">
        <v>111</v>
      </c>
      <c r="C78" s="1" t="s">
        <v>37</v>
      </c>
      <c r="D78" s="1" t="s">
        <v>21</v>
      </c>
      <c r="E78" s="1">
        <v>62000</v>
      </c>
      <c r="F78" s="1" t="s">
        <v>10</v>
      </c>
    </row>
    <row r="79" spans="2:12" x14ac:dyDescent="0.4">
      <c r="B79" s="1">
        <v>112</v>
      </c>
      <c r="C79" s="1" t="s">
        <v>38</v>
      </c>
      <c r="D79" s="1" t="s">
        <v>9</v>
      </c>
      <c r="E79" s="1">
        <v>70000</v>
      </c>
      <c r="F79" s="1" t="s">
        <v>7</v>
      </c>
    </row>
    <row r="80" spans="2:12" x14ac:dyDescent="0.4">
      <c r="B80" s="1">
        <v>113</v>
      </c>
      <c r="C80" s="1" t="s">
        <v>39</v>
      </c>
      <c r="D80" s="1" t="s">
        <v>15</v>
      </c>
      <c r="E80" s="1">
        <v>58000</v>
      </c>
      <c r="F80" s="1" t="s">
        <v>7</v>
      </c>
    </row>
    <row r="81" spans="2:12" x14ac:dyDescent="0.4">
      <c r="B81" s="1">
        <v>114</v>
      </c>
      <c r="C81" s="1" t="s">
        <v>40</v>
      </c>
      <c r="D81" s="1" t="s">
        <v>21</v>
      </c>
      <c r="E81" s="1">
        <v>70000</v>
      </c>
      <c r="F81" s="1" t="s">
        <v>10</v>
      </c>
    </row>
    <row r="83" spans="2:12" x14ac:dyDescent="0.4">
      <c r="B83" s="5" t="s">
        <v>0</v>
      </c>
      <c r="C83" s="5" t="s">
        <v>1</v>
      </c>
      <c r="D83" s="5" t="s">
        <v>2</v>
      </c>
      <c r="E83" s="5" t="s">
        <v>3</v>
      </c>
      <c r="F83" s="5" t="s">
        <v>4</v>
      </c>
      <c r="H83" s="7" t="s">
        <v>45</v>
      </c>
    </row>
    <row r="84" spans="2:12" x14ac:dyDescent="0.4">
      <c r="B84" s="1">
        <v>101</v>
      </c>
      <c r="C84" s="1" t="s">
        <v>5</v>
      </c>
      <c r="D84" s="1" t="s">
        <v>21</v>
      </c>
      <c r="E84" s="1">
        <v>45000</v>
      </c>
      <c r="F84" s="1" t="s">
        <v>7</v>
      </c>
      <c r="H84" t="s">
        <v>46</v>
      </c>
    </row>
    <row r="85" spans="2:12" x14ac:dyDescent="0.4">
      <c r="B85" s="1">
        <v>102</v>
      </c>
      <c r="C85" s="1" t="s">
        <v>8</v>
      </c>
      <c r="D85" s="1" t="s">
        <v>9</v>
      </c>
      <c r="E85" s="1">
        <v>52000</v>
      </c>
      <c r="F85" s="1" t="s">
        <v>10</v>
      </c>
    </row>
    <row r="86" spans="2:12" x14ac:dyDescent="0.4">
      <c r="B86" s="1">
        <v>103</v>
      </c>
      <c r="C86" s="1" t="s">
        <v>11</v>
      </c>
      <c r="D86" s="1" t="s">
        <v>15</v>
      </c>
      <c r="E86" s="1">
        <v>60000</v>
      </c>
      <c r="F86" s="1" t="s">
        <v>13</v>
      </c>
    </row>
    <row r="87" spans="2:12" x14ac:dyDescent="0.4">
      <c r="B87" s="1">
        <v>104</v>
      </c>
      <c r="C87" s="1" t="s">
        <v>28</v>
      </c>
      <c r="D87" s="1" t="s">
        <v>15</v>
      </c>
      <c r="E87" s="1">
        <v>48000</v>
      </c>
      <c r="F87" s="1" t="s">
        <v>7</v>
      </c>
      <c r="H87" s="5" t="s">
        <v>0</v>
      </c>
      <c r="I87" s="5" t="s">
        <v>1</v>
      </c>
      <c r="J87" s="5" t="s">
        <v>2</v>
      </c>
      <c r="K87" s="5" t="s">
        <v>3</v>
      </c>
      <c r="L87" s="5" t="s">
        <v>4</v>
      </c>
    </row>
    <row r="88" spans="2:12" x14ac:dyDescent="0.4">
      <c r="B88" s="1">
        <v>105</v>
      </c>
      <c r="C88" s="1" t="s">
        <v>16</v>
      </c>
      <c r="D88" s="1" t="s">
        <v>21</v>
      </c>
      <c r="E88" s="1">
        <v>55000</v>
      </c>
      <c r="F88" s="1" t="s">
        <v>17</v>
      </c>
      <c r="H88" cm="1">
        <f t="array" ref="H88:L93">_xlfn._xlws.FILTER(B83:F97,(D83:D97="hr")+(E83:E97&lt;55000))</f>
        <v>101</v>
      </c>
      <c r="I88" t="str">
        <v>Rohan</v>
      </c>
      <c r="J88" t="str">
        <v>IT</v>
      </c>
      <c r="K88">
        <v>45000</v>
      </c>
      <c r="L88" t="str">
        <v>Mumbai</v>
      </c>
    </row>
    <row r="89" spans="2:12" x14ac:dyDescent="0.4">
      <c r="B89" s="1">
        <v>106</v>
      </c>
      <c r="C89" s="1" t="s">
        <v>18</v>
      </c>
      <c r="D89" s="1" t="s">
        <v>9</v>
      </c>
      <c r="E89" s="1">
        <v>51000</v>
      </c>
      <c r="F89" s="1" t="s">
        <v>13</v>
      </c>
      <c r="H89">
        <v>102</v>
      </c>
      <c r="I89" t="str">
        <v>Priya</v>
      </c>
      <c r="J89" t="str">
        <v>HR</v>
      </c>
      <c r="K89">
        <v>52000</v>
      </c>
      <c r="L89" t="str">
        <v>Delhi</v>
      </c>
    </row>
    <row r="90" spans="2:12" x14ac:dyDescent="0.4">
      <c r="B90" s="1">
        <v>107</v>
      </c>
      <c r="C90" s="1" t="s">
        <v>29</v>
      </c>
      <c r="D90" s="1" t="s">
        <v>15</v>
      </c>
      <c r="E90" s="1">
        <v>62000</v>
      </c>
      <c r="F90" s="1" t="s">
        <v>10</v>
      </c>
      <c r="H90">
        <v>104</v>
      </c>
      <c r="I90" t="str">
        <v xml:space="preserve">Neha </v>
      </c>
      <c r="J90" t="str">
        <v>Marketing</v>
      </c>
      <c r="K90">
        <v>48000</v>
      </c>
      <c r="L90" t="str">
        <v>Mumbai</v>
      </c>
    </row>
    <row r="91" spans="2:12" x14ac:dyDescent="0.4">
      <c r="B91" s="1">
        <v>108</v>
      </c>
      <c r="C91" s="1" t="s">
        <v>20</v>
      </c>
      <c r="D91" s="1" t="s">
        <v>21</v>
      </c>
      <c r="E91" s="1">
        <v>70000</v>
      </c>
      <c r="F91" s="1" t="s">
        <v>7</v>
      </c>
      <c r="H91">
        <v>106</v>
      </c>
      <c r="I91" t="str">
        <v>Sheetal</v>
      </c>
      <c r="J91" t="str">
        <v>HR</v>
      </c>
      <c r="K91">
        <v>51000</v>
      </c>
      <c r="L91" t="str">
        <v>Pune</v>
      </c>
    </row>
    <row r="92" spans="2:12" x14ac:dyDescent="0.4">
      <c r="B92" s="1">
        <v>109</v>
      </c>
      <c r="C92" s="1" t="s">
        <v>23</v>
      </c>
      <c r="D92" s="1" t="s">
        <v>21</v>
      </c>
      <c r="E92" s="1">
        <v>58000</v>
      </c>
      <c r="F92" s="1" t="s">
        <v>7</v>
      </c>
      <c r="H92">
        <v>110</v>
      </c>
      <c r="I92" t="str">
        <v>Sneha</v>
      </c>
      <c r="J92" t="str">
        <v>Marketing</v>
      </c>
      <c r="K92">
        <v>51000</v>
      </c>
      <c r="L92" t="str">
        <v>Pune</v>
      </c>
    </row>
    <row r="93" spans="2:12" x14ac:dyDescent="0.4">
      <c r="B93" s="1">
        <v>110</v>
      </c>
      <c r="C93" s="1" t="s">
        <v>24</v>
      </c>
      <c r="D93" s="1" t="s">
        <v>15</v>
      </c>
      <c r="E93" s="1">
        <v>51000</v>
      </c>
      <c r="F93" s="1" t="s">
        <v>13</v>
      </c>
      <c r="H93">
        <v>112</v>
      </c>
      <c r="I93" t="str">
        <v>Tinku</v>
      </c>
      <c r="J93" t="str">
        <v>HR</v>
      </c>
      <c r="K93">
        <v>70000</v>
      </c>
      <c r="L93" t="str">
        <v>Mumbai</v>
      </c>
    </row>
    <row r="94" spans="2:12" x14ac:dyDescent="0.4">
      <c r="B94" s="1">
        <v>111</v>
      </c>
      <c r="C94" s="1" t="s">
        <v>37</v>
      </c>
      <c r="D94" s="1" t="s">
        <v>21</v>
      </c>
      <c r="E94" s="1">
        <v>62000</v>
      </c>
      <c r="F94" s="1" t="s">
        <v>10</v>
      </c>
    </row>
    <row r="95" spans="2:12" x14ac:dyDescent="0.4">
      <c r="B95" s="1">
        <v>112</v>
      </c>
      <c r="C95" s="1" t="s">
        <v>38</v>
      </c>
      <c r="D95" s="1" t="s">
        <v>9</v>
      </c>
      <c r="E95" s="1">
        <v>70000</v>
      </c>
      <c r="F95" s="1" t="s">
        <v>7</v>
      </c>
    </row>
    <row r="96" spans="2:12" x14ac:dyDescent="0.4">
      <c r="B96" s="1">
        <v>113</v>
      </c>
      <c r="C96" s="1" t="s">
        <v>39</v>
      </c>
      <c r="D96" s="1" t="s">
        <v>15</v>
      </c>
      <c r="E96" s="1">
        <v>58000</v>
      </c>
      <c r="F96" s="1" t="s">
        <v>7</v>
      </c>
    </row>
    <row r="97" spans="2:6" x14ac:dyDescent="0.4">
      <c r="B97" s="1">
        <v>114</v>
      </c>
      <c r="C97" s="1" t="s">
        <v>40</v>
      </c>
      <c r="D97" s="1" t="s">
        <v>21</v>
      </c>
      <c r="E97" s="1">
        <v>70000</v>
      </c>
      <c r="F97" s="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A856-F93E-44F4-8CC0-791A8039FA3E}">
  <dimension ref="A1:T97"/>
  <sheetViews>
    <sheetView workbookViewId="0">
      <pane ySplit="1" topLeftCell="A18" activePane="bottomLeft" state="frozen"/>
      <selection pane="bottomLeft" activeCell="G27" sqref="G27"/>
    </sheetView>
  </sheetViews>
  <sheetFormatPr defaultRowHeight="26.25" x14ac:dyDescent="0.4"/>
  <cols>
    <col min="1" max="1" width="2" customWidth="1"/>
    <col min="3" max="3" width="8.92578125" customWidth="1"/>
    <col min="4" max="4" width="10.7109375" customWidth="1"/>
    <col min="5" max="5" width="12.28515625" customWidth="1"/>
    <col min="9" max="9" width="12" customWidth="1"/>
    <col min="10" max="10" width="11.5" customWidth="1"/>
    <col min="11" max="11" width="10.28515625" customWidth="1"/>
  </cols>
  <sheetData>
    <row r="1" spans="1:20" ht="51.6" customHeight="1" thickBot="1" x14ac:dyDescent="0.45">
      <c r="A1" s="2"/>
      <c r="B1" s="4" t="s">
        <v>50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</row>
    <row r="3" spans="1:20" x14ac:dyDescent="0.4">
      <c r="B3" s="5" t="s">
        <v>0</v>
      </c>
      <c r="C3" s="5" t="s">
        <v>1</v>
      </c>
      <c r="D3" s="5" t="s">
        <v>2</v>
      </c>
      <c r="E3" s="5" t="s">
        <v>52</v>
      </c>
      <c r="F3" s="5" t="s">
        <v>3</v>
      </c>
      <c r="G3" s="5" t="s">
        <v>4</v>
      </c>
      <c r="I3" s="5" t="s">
        <v>2</v>
      </c>
      <c r="J3" s="5" t="s">
        <v>51</v>
      </c>
    </row>
    <row r="4" spans="1:20" x14ac:dyDescent="0.4">
      <c r="B4" s="1">
        <v>101</v>
      </c>
      <c r="C4" s="1" t="s">
        <v>5</v>
      </c>
      <c r="D4" s="1" t="s">
        <v>21</v>
      </c>
      <c r="E4" s="1" t="s">
        <v>53</v>
      </c>
      <c r="F4" s="1">
        <v>45000</v>
      </c>
      <c r="G4" s="1" t="s">
        <v>7</v>
      </c>
      <c r="I4" t="s">
        <v>41</v>
      </c>
      <c r="J4">
        <f>SUMIF(D3:D17,I4,F3:F17)</f>
        <v>360000</v>
      </c>
    </row>
    <row r="5" spans="1:20" x14ac:dyDescent="0.4">
      <c r="B5" s="1">
        <v>102</v>
      </c>
      <c r="C5" s="1" t="s">
        <v>8</v>
      </c>
      <c r="D5" s="1" t="s">
        <v>9</v>
      </c>
      <c r="E5" s="1" t="s">
        <v>54</v>
      </c>
      <c r="F5" s="1">
        <v>52000</v>
      </c>
      <c r="G5" s="1" t="s">
        <v>10</v>
      </c>
    </row>
    <row r="6" spans="1:20" x14ac:dyDescent="0.4">
      <c r="B6" s="1">
        <v>103</v>
      </c>
      <c r="C6" s="1" t="s">
        <v>11</v>
      </c>
      <c r="D6" s="1" t="s">
        <v>15</v>
      </c>
      <c r="E6" s="1" t="s">
        <v>53</v>
      </c>
      <c r="F6" s="1">
        <v>60000</v>
      </c>
      <c r="G6" s="1" t="s">
        <v>13</v>
      </c>
    </row>
    <row r="7" spans="1:20" x14ac:dyDescent="0.4">
      <c r="B7" s="1">
        <v>104</v>
      </c>
      <c r="C7" s="1" t="s">
        <v>28</v>
      </c>
      <c r="D7" s="1" t="s">
        <v>15</v>
      </c>
      <c r="E7" s="1" t="s">
        <v>54</v>
      </c>
      <c r="F7" s="1">
        <v>48000</v>
      </c>
      <c r="G7" s="1" t="s">
        <v>7</v>
      </c>
    </row>
    <row r="8" spans="1:20" x14ac:dyDescent="0.4">
      <c r="B8" s="1">
        <v>105</v>
      </c>
      <c r="C8" s="1" t="s">
        <v>16</v>
      </c>
      <c r="D8" s="1" t="s">
        <v>21</v>
      </c>
      <c r="E8" s="1" t="s">
        <v>53</v>
      </c>
      <c r="F8" s="1">
        <v>55000</v>
      </c>
      <c r="G8" s="1" t="s">
        <v>17</v>
      </c>
    </row>
    <row r="9" spans="1:20" x14ac:dyDescent="0.4">
      <c r="B9" s="1">
        <v>106</v>
      </c>
      <c r="C9" s="1" t="s">
        <v>18</v>
      </c>
      <c r="D9" s="1" t="s">
        <v>9</v>
      </c>
      <c r="E9" s="1" t="s">
        <v>54</v>
      </c>
      <c r="F9" s="1">
        <v>51000</v>
      </c>
      <c r="G9" s="1" t="s">
        <v>13</v>
      </c>
    </row>
    <row r="10" spans="1:20" x14ac:dyDescent="0.4">
      <c r="B10" s="1">
        <v>107</v>
      </c>
      <c r="C10" s="1" t="s">
        <v>29</v>
      </c>
      <c r="D10" s="1" t="s">
        <v>15</v>
      </c>
      <c r="E10" s="1" t="s">
        <v>53</v>
      </c>
      <c r="F10" s="1">
        <v>62000</v>
      </c>
      <c r="G10" s="1" t="s">
        <v>10</v>
      </c>
    </row>
    <row r="11" spans="1:20" x14ac:dyDescent="0.4">
      <c r="B11" s="1">
        <v>108</v>
      </c>
      <c r="C11" s="1" t="s">
        <v>20</v>
      </c>
      <c r="D11" s="1" t="s">
        <v>21</v>
      </c>
      <c r="E11" s="1" t="s">
        <v>54</v>
      </c>
      <c r="F11" s="1">
        <v>70000</v>
      </c>
      <c r="G11" s="1" t="s">
        <v>7</v>
      </c>
    </row>
    <row r="12" spans="1:20" x14ac:dyDescent="0.4">
      <c r="B12" s="1">
        <v>109</v>
      </c>
      <c r="C12" s="1" t="s">
        <v>23</v>
      </c>
      <c r="D12" s="1" t="s">
        <v>21</v>
      </c>
      <c r="E12" s="1" t="s">
        <v>53</v>
      </c>
      <c r="F12" s="1">
        <v>58000</v>
      </c>
      <c r="G12" s="1" t="s">
        <v>7</v>
      </c>
      <c r="I12" s="5" t="s">
        <v>52</v>
      </c>
      <c r="J12" s="5" t="s">
        <v>3</v>
      </c>
    </row>
    <row r="13" spans="1:20" x14ac:dyDescent="0.4">
      <c r="B13" s="1">
        <v>110</v>
      </c>
      <c r="C13" s="1" t="s">
        <v>24</v>
      </c>
      <c r="D13" s="1" t="s">
        <v>15</v>
      </c>
      <c r="E13" s="1" t="s">
        <v>54</v>
      </c>
      <c r="F13" s="1">
        <v>51000</v>
      </c>
      <c r="G13" s="1" t="s">
        <v>13</v>
      </c>
      <c r="I13" t="s">
        <v>55</v>
      </c>
      <c r="J13">
        <f>SUMIF(E3:E17,I13,F3:F17)</f>
        <v>400000</v>
      </c>
    </row>
    <row r="14" spans="1:20" x14ac:dyDescent="0.4">
      <c r="B14" s="1">
        <v>111</v>
      </c>
      <c r="C14" s="1" t="s">
        <v>37</v>
      </c>
      <c r="D14" s="1" t="s">
        <v>21</v>
      </c>
      <c r="E14" s="1" t="s">
        <v>53</v>
      </c>
      <c r="F14" s="1">
        <v>62000</v>
      </c>
      <c r="G14" s="1" t="s">
        <v>10</v>
      </c>
    </row>
    <row r="15" spans="1:20" x14ac:dyDescent="0.4">
      <c r="B15" s="1">
        <v>112</v>
      </c>
      <c r="C15" s="1" t="s">
        <v>38</v>
      </c>
      <c r="D15" s="1" t="s">
        <v>9</v>
      </c>
      <c r="E15" s="1" t="s">
        <v>54</v>
      </c>
      <c r="F15" s="1">
        <v>70000</v>
      </c>
      <c r="G15" s="1" t="s">
        <v>7</v>
      </c>
    </row>
    <row r="16" spans="1:20" x14ac:dyDescent="0.4">
      <c r="B16" s="1">
        <v>113</v>
      </c>
      <c r="C16" s="1" t="s">
        <v>39</v>
      </c>
      <c r="D16" s="1" t="s">
        <v>15</v>
      </c>
      <c r="E16" s="1" t="s">
        <v>53</v>
      </c>
      <c r="F16" s="1">
        <v>58000</v>
      </c>
      <c r="G16" s="1" t="s">
        <v>7</v>
      </c>
    </row>
    <row r="17" spans="2:11" x14ac:dyDescent="0.4">
      <c r="B17" s="1">
        <v>114</v>
      </c>
      <c r="C17" s="1" t="s">
        <v>40</v>
      </c>
      <c r="D17" s="1" t="s">
        <v>21</v>
      </c>
      <c r="E17" s="1" t="s">
        <v>54</v>
      </c>
      <c r="F17" s="1">
        <v>70000</v>
      </c>
      <c r="G17" s="1" t="s">
        <v>10</v>
      </c>
    </row>
    <row r="19" spans="2:11" x14ac:dyDescent="0.4">
      <c r="B19" s="5" t="s">
        <v>0</v>
      </c>
      <c r="C19" s="5" t="s">
        <v>1</v>
      </c>
      <c r="D19" s="5" t="s">
        <v>2</v>
      </c>
      <c r="E19" s="5" t="s">
        <v>52</v>
      </c>
      <c r="F19" s="5" t="s">
        <v>3</v>
      </c>
      <c r="G19" s="5" t="s">
        <v>4</v>
      </c>
      <c r="I19" s="5" t="s">
        <v>2</v>
      </c>
      <c r="J19" s="5" t="s">
        <v>52</v>
      </c>
      <c r="K19" s="5" t="s">
        <v>3</v>
      </c>
    </row>
    <row r="20" spans="2:11" x14ac:dyDescent="0.4">
      <c r="B20" s="1">
        <v>101</v>
      </c>
      <c r="C20" s="1" t="s">
        <v>5</v>
      </c>
      <c r="D20" s="1" t="s">
        <v>21</v>
      </c>
      <c r="E20" s="1" t="s">
        <v>53</v>
      </c>
      <c r="F20" s="1">
        <v>45000</v>
      </c>
      <c r="G20" s="1" t="s">
        <v>7</v>
      </c>
      <c r="I20" s="1" t="s">
        <v>41</v>
      </c>
      <c r="J20" s="1" t="s">
        <v>102</v>
      </c>
      <c r="K20" s="1">
        <f>SUMIFS(F19:F33,D19:D33,I20,E19:E33,J20)</f>
        <v>140000</v>
      </c>
    </row>
    <row r="21" spans="2:11" x14ac:dyDescent="0.4">
      <c r="B21" s="1">
        <v>102</v>
      </c>
      <c r="C21" s="1" t="s">
        <v>8</v>
      </c>
      <c r="D21" s="1" t="s">
        <v>9</v>
      </c>
      <c r="E21" s="1" t="s">
        <v>54</v>
      </c>
      <c r="F21" s="1">
        <v>52000</v>
      </c>
      <c r="G21" s="1" t="s">
        <v>10</v>
      </c>
    </row>
    <row r="22" spans="2:11" x14ac:dyDescent="0.4">
      <c r="B22" s="1">
        <v>103</v>
      </c>
      <c r="C22" s="1" t="s">
        <v>11</v>
      </c>
      <c r="D22" s="1" t="s">
        <v>15</v>
      </c>
      <c r="E22" s="1" t="s">
        <v>53</v>
      </c>
      <c r="F22" s="1">
        <v>60000</v>
      </c>
      <c r="G22" s="1" t="s">
        <v>13</v>
      </c>
    </row>
    <row r="23" spans="2:11" x14ac:dyDescent="0.4">
      <c r="B23" s="1">
        <v>104</v>
      </c>
      <c r="C23" s="1" t="s">
        <v>28</v>
      </c>
      <c r="D23" s="1" t="s">
        <v>15</v>
      </c>
      <c r="E23" s="1" t="s">
        <v>54</v>
      </c>
      <c r="F23" s="1">
        <v>48000</v>
      </c>
      <c r="G23" s="1" t="s">
        <v>7</v>
      </c>
    </row>
    <row r="24" spans="2:11" x14ac:dyDescent="0.4">
      <c r="B24" s="1">
        <v>105</v>
      </c>
      <c r="C24" s="1" t="s">
        <v>16</v>
      </c>
      <c r="D24" s="1" t="s">
        <v>21</v>
      </c>
      <c r="E24" s="1" t="s">
        <v>53</v>
      </c>
      <c r="F24" s="1">
        <v>55000</v>
      </c>
      <c r="G24" s="1" t="s">
        <v>17</v>
      </c>
    </row>
    <row r="25" spans="2:11" x14ac:dyDescent="0.4">
      <c r="B25" s="1">
        <v>106</v>
      </c>
      <c r="C25" s="1" t="s">
        <v>18</v>
      </c>
      <c r="D25" s="1" t="s">
        <v>9</v>
      </c>
      <c r="E25" s="1" t="s">
        <v>54</v>
      </c>
      <c r="F25" s="1">
        <v>51000</v>
      </c>
      <c r="G25" s="1" t="s">
        <v>13</v>
      </c>
    </row>
    <row r="26" spans="2:11" x14ac:dyDescent="0.4">
      <c r="B26" s="1">
        <v>107</v>
      </c>
      <c r="C26" s="1" t="s">
        <v>29</v>
      </c>
      <c r="D26" s="1" t="s">
        <v>15</v>
      </c>
      <c r="E26" s="1" t="s">
        <v>53</v>
      </c>
      <c r="F26" s="1">
        <v>62000</v>
      </c>
      <c r="G26" s="1" t="s">
        <v>10</v>
      </c>
    </row>
    <row r="27" spans="2:11" x14ac:dyDescent="0.4">
      <c r="B27" s="1">
        <v>108</v>
      </c>
      <c r="C27" s="1" t="s">
        <v>20</v>
      </c>
      <c r="D27" s="1" t="s">
        <v>21</v>
      </c>
      <c r="E27" s="1" t="s">
        <v>54</v>
      </c>
      <c r="F27" s="1">
        <v>70000</v>
      </c>
      <c r="G27" s="1" t="s">
        <v>7</v>
      </c>
    </row>
    <row r="28" spans="2:11" x14ac:dyDescent="0.4">
      <c r="B28" s="1">
        <v>109</v>
      </c>
      <c r="C28" s="1" t="s">
        <v>23</v>
      </c>
      <c r="D28" s="1" t="s">
        <v>21</v>
      </c>
      <c r="E28" s="1" t="s">
        <v>53</v>
      </c>
      <c r="F28" s="1">
        <v>58000</v>
      </c>
      <c r="G28" s="1" t="s">
        <v>7</v>
      </c>
    </row>
    <row r="29" spans="2:11" x14ac:dyDescent="0.4">
      <c r="B29" s="1">
        <v>110</v>
      </c>
      <c r="C29" s="1" t="s">
        <v>24</v>
      </c>
      <c r="D29" s="1" t="s">
        <v>15</v>
      </c>
      <c r="E29" s="1" t="s">
        <v>54</v>
      </c>
      <c r="F29" s="1">
        <v>51000</v>
      </c>
      <c r="G29" s="1" t="s">
        <v>13</v>
      </c>
    </row>
    <row r="30" spans="2:11" x14ac:dyDescent="0.4">
      <c r="B30" s="1">
        <v>111</v>
      </c>
      <c r="C30" s="1" t="s">
        <v>37</v>
      </c>
      <c r="D30" s="1" t="s">
        <v>21</v>
      </c>
      <c r="E30" s="1" t="s">
        <v>53</v>
      </c>
      <c r="F30" s="1">
        <v>62000</v>
      </c>
      <c r="G30" s="1" t="s">
        <v>10</v>
      </c>
    </row>
    <row r="31" spans="2:11" x14ac:dyDescent="0.4">
      <c r="B31" s="1">
        <v>112</v>
      </c>
      <c r="C31" s="1" t="s">
        <v>38</v>
      </c>
      <c r="D31" s="1" t="s">
        <v>9</v>
      </c>
      <c r="E31" s="1" t="s">
        <v>54</v>
      </c>
      <c r="F31" s="1">
        <v>70000</v>
      </c>
      <c r="G31" s="1" t="s">
        <v>7</v>
      </c>
    </row>
    <row r="32" spans="2:11" x14ac:dyDescent="0.4">
      <c r="B32" s="1">
        <v>113</v>
      </c>
      <c r="C32" s="1" t="s">
        <v>39</v>
      </c>
      <c r="D32" s="1" t="s">
        <v>15</v>
      </c>
      <c r="E32" s="1" t="s">
        <v>53</v>
      </c>
      <c r="F32" s="1">
        <v>58000</v>
      </c>
      <c r="G32" s="1" t="s">
        <v>7</v>
      </c>
    </row>
    <row r="33" spans="2:7" x14ac:dyDescent="0.4">
      <c r="B33" s="1">
        <v>114</v>
      </c>
      <c r="C33" s="1" t="s">
        <v>40</v>
      </c>
      <c r="D33" s="1" t="s">
        <v>21</v>
      </c>
      <c r="E33" s="1" t="s">
        <v>54</v>
      </c>
      <c r="F33" s="1">
        <v>70000</v>
      </c>
      <c r="G33" s="1" t="s">
        <v>10</v>
      </c>
    </row>
    <row r="35" spans="2:7" x14ac:dyDescent="0.4">
      <c r="B35" s="5" t="s">
        <v>0</v>
      </c>
      <c r="C35" s="5" t="s">
        <v>1</v>
      </c>
      <c r="D35" s="5" t="s">
        <v>2</v>
      </c>
      <c r="E35" s="5"/>
      <c r="F35" s="5" t="s">
        <v>3</v>
      </c>
      <c r="G35" s="5" t="s">
        <v>4</v>
      </c>
    </row>
    <row r="36" spans="2:7" x14ac:dyDescent="0.4">
      <c r="B36" s="1">
        <v>101</v>
      </c>
      <c r="C36" s="1" t="s">
        <v>5</v>
      </c>
      <c r="D36" s="1" t="s">
        <v>21</v>
      </c>
      <c r="E36" s="1"/>
      <c r="F36" s="1">
        <v>45000</v>
      </c>
      <c r="G36" s="1" t="s">
        <v>7</v>
      </c>
    </row>
    <row r="37" spans="2:7" x14ac:dyDescent="0.4">
      <c r="B37" s="1">
        <v>102</v>
      </c>
      <c r="C37" s="1" t="s">
        <v>8</v>
      </c>
      <c r="D37" s="1" t="s">
        <v>9</v>
      </c>
      <c r="E37" s="1"/>
      <c r="F37" s="1">
        <v>52000</v>
      </c>
      <c r="G37" s="1" t="s">
        <v>10</v>
      </c>
    </row>
    <row r="38" spans="2:7" x14ac:dyDescent="0.4">
      <c r="B38" s="1">
        <v>103</v>
      </c>
      <c r="C38" s="1" t="s">
        <v>11</v>
      </c>
      <c r="D38" s="1" t="s">
        <v>15</v>
      </c>
      <c r="E38" s="1"/>
      <c r="F38" s="1">
        <v>60000</v>
      </c>
      <c r="G38" s="1" t="s">
        <v>13</v>
      </c>
    </row>
    <row r="39" spans="2:7" x14ac:dyDescent="0.4">
      <c r="B39" s="1">
        <v>104</v>
      </c>
      <c r="C39" s="1" t="s">
        <v>28</v>
      </c>
      <c r="D39" s="1" t="s">
        <v>15</v>
      </c>
      <c r="E39" s="1"/>
      <c r="F39" s="1">
        <v>48000</v>
      </c>
      <c r="G39" s="1" t="s">
        <v>7</v>
      </c>
    </row>
    <row r="40" spans="2:7" x14ac:dyDescent="0.4">
      <c r="B40" s="1">
        <v>105</v>
      </c>
      <c r="C40" s="1" t="s">
        <v>16</v>
      </c>
      <c r="D40" s="1" t="s">
        <v>21</v>
      </c>
      <c r="E40" s="1"/>
      <c r="F40" s="1">
        <v>55000</v>
      </c>
      <c r="G40" s="1" t="s">
        <v>17</v>
      </c>
    </row>
    <row r="41" spans="2:7" x14ac:dyDescent="0.4">
      <c r="B41" s="1">
        <v>106</v>
      </c>
      <c r="C41" s="1" t="s">
        <v>18</v>
      </c>
      <c r="D41" s="1" t="s">
        <v>9</v>
      </c>
      <c r="E41" s="1"/>
      <c r="F41" s="1">
        <v>51000</v>
      </c>
      <c r="G41" s="1" t="s">
        <v>13</v>
      </c>
    </row>
    <row r="42" spans="2:7" x14ac:dyDescent="0.4">
      <c r="B42" s="1">
        <v>107</v>
      </c>
      <c r="C42" s="1" t="s">
        <v>29</v>
      </c>
      <c r="D42" s="1" t="s">
        <v>15</v>
      </c>
      <c r="E42" s="1"/>
      <c r="F42" s="1">
        <v>62000</v>
      </c>
      <c r="G42" s="1" t="s">
        <v>10</v>
      </c>
    </row>
    <row r="43" spans="2:7" x14ac:dyDescent="0.4">
      <c r="B43" s="1">
        <v>108</v>
      </c>
      <c r="C43" s="1" t="s">
        <v>20</v>
      </c>
      <c r="D43" s="1" t="s">
        <v>21</v>
      </c>
      <c r="E43" s="1"/>
      <c r="F43" s="1">
        <v>70000</v>
      </c>
      <c r="G43" s="1" t="s">
        <v>7</v>
      </c>
    </row>
    <row r="44" spans="2:7" x14ac:dyDescent="0.4">
      <c r="B44" s="1">
        <v>109</v>
      </c>
      <c r="C44" s="1" t="s">
        <v>23</v>
      </c>
      <c r="D44" s="1" t="s">
        <v>21</v>
      </c>
      <c r="E44" s="1"/>
      <c r="F44" s="1">
        <v>58000</v>
      </c>
      <c r="G44" s="1" t="s">
        <v>7</v>
      </c>
    </row>
    <row r="45" spans="2:7" x14ac:dyDescent="0.4">
      <c r="B45" s="1">
        <v>110</v>
      </c>
      <c r="C45" s="1" t="s">
        <v>24</v>
      </c>
      <c r="D45" s="1" t="s">
        <v>15</v>
      </c>
      <c r="E45" s="1"/>
      <c r="F45" s="1">
        <v>51000</v>
      </c>
      <c r="G45" s="1" t="s">
        <v>13</v>
      </c>
    </row>
    <row r="46" spans="2:7" x14ac:dyDescent="0.4">
      <c r="B46" s="1">
        <v>111</v>
      </c>
      <c r="C46" s="1" t="s">
        <v>37</v>
      </c>
      <c r="D46" s="1" t="s">
        <v>21</v>
      </c>
      <c r="E46" s="1"/>
      <c r="F46" s="1">
        <v>62000</v>
      </c>
      <c r="G46" s="1" t="s">
        <v>10</v>
      </c>
    </row>
    <row r="47" spans="2:7" x14ac:dyDescent="0.4">
      <c r="B47" s="1">
        <v>112</v>
      </c>
      <c r="C47" s="1" t="s">
        <v>38</v>
      </c>
      <c r="D47" s="1" t="s">
        <v>9</v>
      </c>
      <c r="E47" s="1"/>
      <c r="F47" s="1">
        <v>70000</v>
      </c>
      <c r="G47" s="1" t="s">
        <v>7</v>
      </c>
    </row>
    <row r="48" spans="2:7" x14ac:dyDescent="0.4">
      <c r="B48" s="1">
        <v>113</v>
      </c>
      <c r="C48" s="1" t="s">
        <v>39</v>
      </c>
      <c r="D48" s="1" t="s">
        <v>15</v>
      </c>
      <c r="E48" s="1"/>
      <c r="F48" s="1">
        <v>58000</v>
      </c>
      <c r="G48" s="1" t="s">
        <v>7</v>
      </c>
    </row>
    <row r="49" spans="2:7" x14ac:dyDescent="0.4">
      <c r="B49" s="1">
        <v>114</v>
      </c>
      <c r="C49" s="1" t="s">
        <v>40</v>
      </c>
      <c r="D49" s="1" t="s">
        <v>21</v>
      </c>
      <c r="E49" s="1"/>
      <c r="F49" s="1">
        <v>70000</v>
      </c>
      <c r="G49" s="1" t="s">
        <v>10</v>
      </c>
    </row>
    <row r="51" spans="2:7" x14ac:dyDescent="0.4">
      <c r="B51" s="5" t="s">
        <v>0</v>
      </c>
      <c r="C51" s="5" t="s">
        <v>1</v>
      </c>
      <c r="D51" s="5" t="s">
        <v>2</v>
      </c>
      <c r="E51" s="5"/>
      <c r="F51" s="5" t="s">
        <v>3</v>
      </c>
      <c r="G51" s="5" t="s">
        <v>4</v>
      </c>
    </row>
    <row r="52" spans="2:7" x14ac:dyDescent="0.4">
      <c r="B52" s="1">
        <v>101</v>
      </c>
      <c r="C52" s="1" t="s">
        <v>5</v>
      </c>
      <c r="D52" s="1" t="s">
        <v>21</v>
      </c>
      <c r="E52" s="1"/>
      <c r="F52" s="1">
        <v>45000</v>
      </c>
      <c r="G52" s="1" t="s">
        <v>7</v>
      </c>
    </row>
    <row r="53" spans="2:7" x14ac:dyDescent="0.4">
      <c r="B53" s="1">
        <v>102</v>
      </c>
      <c r="C53" s="1" t="s">
        <v>8</v>
      </c>
      <c r="D53" s="1" t="s">
        <v>9</v>
      </c>
      <c r="E53" s="1"/>
      <c r="F53" s="1">
        <v>52000</v>
      </c>
      <c r="G53" s="1" t="s">
        <v>10</v>
      </c>
    </row>
    <row r="54" spans="2:7" x14ac:dyDescent="0.4">
      <c r="B54" s="1">
        <v>103</v>
      </c>
      <c r="C54" s="1" t="s">
        <v>11</v>
      </c>
      <c r="D54" s="1" t="s">
        <v>15</v>
      </c>
      <c r="E54" s="1"/>
      <c r="F54" s="1">
        <v>60000</v>
      </c>
      <c r="G54" s="1" t="s">
        <v>13</v>
      </c>
    </row>
    <row r="55" spans="2:7" x14ac:dyDescent="0.4">
      <c r="B55" s="1">
        <v>104</v>
      </c>
      <c r="C55" s="1" t="s">
        <v>28</v>
      </c>
      <c r="D55" s="1" t="s">
        <v>15</v>
      </c>
      <c r="E55" s="1"/>
      <c r="F55" s="1">
        <v>48000</v>
      </c>
      <c r="G55" s="1" t="s">
        <v>7</v>
      </c>
    </row>
    <row r="56" spans="2:7" x14ac:dyDescent="0.4">
      <c r="B56" s="1">
        <v>105</v>
      </c>
      <c r="C56" s="1" t="s">
        <v>16</v>
      </c>
      <c r="D56" s="1" t="s">
        <v>21</v>
      </c>
      <c r="E56" s="1"/>
      <c r="F56" s="1">
        <v>55000</v>
      </c>
      <c r="G56" s="1" t="s">
        <v>17</v>
      </c>
    </row>
    <row r="57" spans="2:7" x14ac:dyDescent="0.4">
      <c r="B57" s="1">
        <v>106</v>
      </c>
      <c r="C57" s="1" t="s">
        <v>18</v>
      </c>
      <c r="D57" s="1" t="s">
        <v>9</v>
      </c>
      <c r="E57" s="1"/>
      <c r="F57" s="1">
        <v>51000</v>
      </c>
      <c r="G57" s="1" t="s">
        <v>13</v>
      </c>
    </row>
    <row r="58" spans="2:7" x14ac:dyDescent="0.4">
      <c r="B58" s="1">
        <v>107</v>
      </c>
      <c r="C58" s="1" t="s">
        <v>29</v>
      </c>
      <c r="D58" s="1" t="s">
        <v>15</v>
      </c>
      <c r="E58" s="1"/>
      <c r="F58" s="1">
        <v>62000</v>
      </c>
      <c r="G58" s="1" t="s">
        <v>10</v>
      </c>
    </row>
    <row r="59" spans="2:7" x14ac:dyDescent="0.4">
      <c r="B59" s="1">
        <v>108</v>
      </c>
      <c r="C59" s="1" t="s">
        <v>20</v>
      </c>
      <c r="D59" s="1" t="s">
        <v>21</v>
      </c>
      <c r="E59" s="1"/>
      <c r="F59" s="1">
        <v>70000</v>
      </c>
      <c r="G59" s="1" t="s">
        <v>7</v>
      </c>
    </row>
    <row r="60" spans="2:7" x14ac:dyDescent="0.4">
      <c r="B60" s="1">
        <v>109</v>
      </c>
      <c r="C60" s="1" t="s">
        <v>23</v>
      </c>
      <c r="D60" s="1" t="s">
        <v>21</v>
      </c>
      <c r="E60" s="1"/>
      <c r="F60" s="1">
        <v>58000</v>
      </c>
      <c r="G60" s="1" t="s">
        <v>7</v>
      </c>
    </row>
    <row r="61" spans="2:7" x14ac:dyDescent="0.4">
      <c r="B61" s="1">
        <v>110</v>
      </c>
      <c r="C61" s="1" t="s">
        <v>24</v>
      </c>
      <c r="D61" s="1" t="s">
        <v>15</v>
      </c>
      <c r="E61" s="1"/>
      <c r="F61" s="1">
        <v>51000</v>
      </c>
      <c r="G61" s="1" t="s">
        <v>13</v>
      </c>
    </row>
    <row r="62" spans="2:7" x14ac:dyDescent="0.4">
      <c r="B62" s="1">
        <v>111</v>
      </c>
      <c r="C62" s="1" t="s">
        <v>37</v>
      </c>
      <c r="D62" s="1" t="s">
        <v>21</v>
      </c>
      <c r="E62" s="1"/>
      <c r="F62" s="1">
        <v>62000</v>
      </c>
      <c r="G62" s="1" t="s">
        <v>10</v>
      </c>
    </row>
    <row r="63" spans="2:7" x14ac:dyDescent="0.4">
      <c r="B63" s="1">
        <v>112</v>
      </c>
      <c r="C63" s="1" t="s">
        <v>38</v>
      </c>
      <c r="D63" s="1" t="s">
        <v>9</v>
      </c>
      <c r="E63" s="1"/>
      <c r="F63" s="1">
        <v>70000</v>
      </c>
      <c r="G63" s="1" t="s">
        <v>7</v>
      </c>
    </row>
    <row r="64" spans="2:7" x14ac:dyDescent="0.4">
      <c r="B64" s="1">
        <v>113</v>
      </c>
      <c r="C64" s="1" t="s">
        <v>39</v>
      </c>
      <c r="D64" s="1" t="s">
        <v>15</v>
      </c>
      <c r="E64" s="1"/>
      <c r="F64" s="1">
        <v>58000</v>
      </c>
      <c r="G64" s="1" t="s">
        <v>7</v>
      </c>
    </row>
    <row r="65" spans="2:7" x14ac:dyDescent="0.4">
      <c r="B65" s="1">
        <v>114</v>
      </c>
      <c r="C65" s="1" t="s">
        <v>40</v>
      </c>
      <c r="D65" s="1" t="s">
        <v>21</v>
      </c>
      <c r="E65" s="1"/>
      <c r="F65" s="1">
        <v>70000</v>
      </c>
      <c r="G65" s="1" t="s">
        <v>10</v>
      </c>
    </row>
    <row r="67" spans="2:7" x14ac:dyDescent="0.4">
      <c r="B67" s="5" t="s">
        <v>0</v>
      </c>
      <c r="C67" s="5" t="s">
        <v>1</v>
      </c>
      <c r="D67" s="5" t="s">
        <v>2</v>
      </c>
      <c r="E67" s="5"/>
      <c r="F67" s="5" t="s">
        <v>3</v>
      </c>
      <c r="G67" s="5" t="s">
        <v>4</v>
      </c>
    </row>
    <row r="68" spans="2:7" x14ac:dyDescent="0.4">
      <c r="B68" s="1">
        <v>101</v>
      </c>
      <c r="C68" s="1" t="s">
        <v>5</v>
      </c>
      <c r="D68" s="1" t="s">
        <v>21</v>
      </c>
      <c r="E68" s="1"/>
      <c r="F68" s="1">
        <v>45000</v>
      </c>
      <c r="G68" s="1" t="s">
        <v>7</v>
      </c>
    </row>
    <row r="69" spans="2:7" x14ac:dyDescent="0.4">
      <c r="B69" s="1">
        <v>102</v>
      </c>
      <c r="C69" s="1" t="s">
        <v>8</v>
      </c>
      <c r="D69" s="1" t="s">
        <v>9</v>
      </c>
      <c r="E69" s="1"/>
      <c r="F69" s="1">
        <v>52000</v>
      </c>
      <c r="G69" s="1" t="s">
        <v>10</v>
      </c>
    </row>
    <row r="70" spans="2:7" x14ac:dyDescent="0.4">
      <c r="B70" s="1">
        <v>103</v>
      </c>
      <c r="C70" s="1" t="s">
        <v>11</v>
      </c>
      <c r="D70" s="1" t="s">
        <v>15</v>
      </c>
      <c r="E70" s="1"/>
      <c r="F70" s="1">
        <v>60000</v>
      </c>
      <c r="G70" s="1" t="s">
        <v>13</v>
      </c>
    </row>
    <row r="71" spans="2:7" x14ac:dyDescent="0.4">
      <c r="B71" s="1">
        <v>104</v>
      </c>
      <c r="C71" s="1" t="s">
        <v>28</v>
      </c>
      <c r="D71" s="1" t="s">
        <v>15</v>
      </c>
      <c r="E71" s="1"/>
      <c r="F71" s="1">
        <v>48000</v>
      </c>
      <c r="G71" s="1" t="s">
        <v>7</v>
      </c>
    </row>
    <row r="72" spans="2:7" x14ac:dyDescent="0.4">
      <c r="B72" s="1">
        <v>105</v>
      </c>
      <c r="C72" s="1" t="s">
        <v>16</v>
      </c>
      <c r="D72" s="1" t="s">
        <v>21</v>
      </c>
      <c r="E72" s="1"/>
      <c r="F72" s="1">
        <v>55000</v>
      </c>
      <c r="G72" s="1" t="s">
        <v>17</v>
      </c>
    </row>
    <row r="73" spans="2:7" x14ac:dyDescent="0.4">
      <c r="B73" s="1">
        <v>106</v>
      </c>
      <c r="C73" s="1" t="s">
        <v>18</v>
      </c>
      <c r="D73" s="1" t="s">
        <v>9</v>
      </c>
      <c r="E73" s="1"/>
      <c r="F73" s="1">
        <v>51000</v>
      </c>
      <c r="G73" s="1" t="s">
        <v>13</v>
      </c>
    </row>
    <row r="74" spans="2:7" x14ac:dyDescent="0.4">
      <c r="B74" s="1">
        <v>107</v>
      </c>
      <c r="C74" s="1" t="s">
        <v>29</v>
      </c>
      <c r="D74" s="1" t="s">
        <v>15</v>
      </c>
      <c r="E74" s="1"/>
      <c r="F74" s="1">
        <v>62000</v>
      </c>
      <c r="G74" s="1" t="s">
        <v>10</v>
      </c>
    </row>
    <row r="75" spans="2:7" x14ac:dyDescent="0.4">
      <c r="B75" s="1">
        <v>108</v>
      </c>
      <c r="C75" s="1" t="s">
        <v>20</v>
      </c>
      <c r="D75" s="1" t="s">
        <v>21</v>
      </c>
      <c r="E75" s="1"/>
      <c r="F75" s="1">
        <v>70000</v>
      </c>
      <c r="G75" s="1" t="s">
        <v>7</v>
      </c>
    </row>
    <row r="76" spans="2:7" x14ac:dyDescent="0.4">
      <c r="B76" s="1">
        <v>109</v>
      </c>
      <c r="C76" s="1" t="s">
        <v>23</v>
      </c>
      <c r="D76" s="1" t="s">
        <v>21</v>
      </c>
      <c r="E76" s="1"/>
      <c r="F76" s="1">
        <v>58000</v>
      </c>
      <c r="G76" s="1" t="s">
        <v>7</v>
      </c>
    </row>
    <row r="77" spans="2:7" x14ac:dyDescent="0.4">
      <c r="B77" s="1">
        <v>110</v>
      </c>
      <c r="C77" s="1" t="s">
        <v>24</v>
      </c>
      <c r="D77" s="1" t="s">
        <v>15</v>
      </c>
      <c r="E77" s="1"/>
      <c r="F77" s="1">
        <v>51000</v>
      </c>
      <c r="G77" s="1" t="s">
        <v>13</v>
      </c>
    </row>
    <row r="78" spans="2:7" x14ac:dyDescent="0.4">
      <c r="B78" s="1">
        <v>111</v>
      </c>
      <c r="C78" s="1" t="s">
        <v>37</v>
      </c>
      <c r="D78" s="1" t="s">
        <v>21</v>
      </c>
      <c r="E78" s="1"/>
      <c r="F78" s="1">
        <v>62000</v>
      </c>
      <c r="G78" s="1" t="s">
        <v>10</v>
      </c>
    </row>
    <row r="79" spans="2:7" x14ac:dyDescent="0.4">
      <c r="B79" s="1">
        <v>112</v>
      </c>
      <c r="C79" s="1" t="s">
        <v>38</v>
      </c>
      <c r="D79" s="1" t="s">
        <v>9</v>
      </c>
      <c r="E79" s="1"/>
      <c r="F79" s="1">
        <v>70000</v>
      </c>
      <c r="G79" s="1" t="s">
        <v>7</v>
      </c>
    </row>
    <row r="80" spans="2:7" x14ac:dyDescent="0.4">
      <c r="B80" s="1">
        <v>113</v>
      </c>
      <c r="C80" s="1" t="s">
        <v>39</v>
      </c>
      <c r="D80" s="1" t="s">
        <v>15</v>
      </c>
      <c r="E80" s="1"/>
      <c r="F80" s="1">
        <v>58000</v>
      </c>
      <c r="G80" s="1" t="s">
        <v>7</v>
      </c>
    </row>
    <row r="81" spans="2:7" x14ac:dyDescent="0.4">
      <c r="B81" s="1">
        <v>114</v>
      </c>
      <c r="C81" s="1" t="s">
        <v>40</v>
      </c>
      <c r="D81" s="1" t="s">
        <v>21</v>
      </c>
      <c r="E81" s="1"/>
      <c r="F81" s="1">
        <v>70000</v>
      </c>
      <c r="G81" s="1" t="s">
        <v>10</v>
      </c>
    </row>
    <row r="83" spans="2:7" x14ac:dyDescent="0.4">
      <c r="B83" s="5" t="s">
        <v>0</v>
      </c>
      <c r="C83" s="5" t="s">
        <v>1</v>
      </c>
      <c r="D83" s="5" t="s">
        <v>2</v>
      </c>
      <c r="E83" s="5"/>
      <c r="F83" s="5" t="s">
        <v>3</v>
      </c>
      <c r="G83" s="5" t="s">
        <v>4</v>
      </c>
    </row>
    <row r="84" spans="2:7" x14ac:dyDescent="0.4">
      <c r="B84" s="1">
        <v>101</v>
      </c>
      <c r="C84" s="1" t="s">
        <v>5</v>
      </c>
      <c r="D84" s="1" t="s">
        <v>21</v>
      </c>
      <c r="E84" s="1"/>
      <c r="F84" s="1">
        <v>45000</v>
      </c>
      <c r="G84" s="1" t="s">
        <v>7</v>
      </c>
    </row>
    <row r="85" spans="2:7" x14ac:dyDescent="0.4">
      <c r="B85" s="1">
        <v>102</v>
      </c>
      <c r="C85" s="1" t="s">
        <v>8</v>
      </c>
      <c r="D85" s="1" t="s">
        <v>9</v>
      </c>
      <c r="E85" s="1"/>
      <c r="F85" s="1">
        <v>52000</v>
      </c>
      <c r="G85" s="1" t="s">
        <v>10</v>
      </c>
    </row>
    <row r="86" spans="2:7" x14ac:dyDescent="0.4">
      <c r="B86" s="1">
        <v>103</v>
      </c>
      <c r="C86" s="1" t="s">
        <v>11</v>
      </c>
      <c r="D86" s="1" t="s">
        <v>15</v>
      </c>
      <c r="E86" s="1"/>
      <c r="F86" s="1">
        <v>60000</v>
      </c>
      <c r="G86" s="1" t="s">
        <v>13</v>
      </c>
    </row>
    <row r="87" spans="2:7" x14ac:dyDescent="0.4">
      <c r="B87" s="1">
        <v>104</v>
      </c>
      <c r="C87" s="1" t="s">
        <v>28</v>
      </c>
      <c r="D87" s="1" t="s">
        <v>15</v>
      </c>
      <c r="E87" s="1"/>
      <c r="F87" s="1">
        <v>48000</v>
      </c>
      <c r="G87" s="1" t="s">
        <v>7</v>
      </c>
    </row>
    <row r="88" spans="2:7" x14ac:dyDescent="0.4">
      <c r="B88" s="1">
        <v>105</v>
      </c>
      <c r="C88" s="1" t="s">
        <v>16</v>
      </c>
      <c r="D88" s="1" t="s">
        <v>21</v>
      </c>
      <c r="E88" s="1"/>
      <c r="F88" s="1">
        <v>55000</v>
      </c>
      <c r="G88" s="1" t="s">
        <v>17</v>
      </c>
    </row>
    <row r="89" spans="2:7" x14ac:dyDescent="0.4">
      <c r="B89" s="1">
        <v>106</v>
      </c>
      <c r="C89" s="1" t="s">
        <v>18</v>
      </c>
      <c r="D89" s="1" t="s">
        <v>9</v>
      </c>
      <c r="E89" s="1"/>
      <c r="F89" s="1">
        <v>51000</v>
      </c>
      <c r="G89" s="1" t="s">
        <v>13</v>
      </c>
    </row>
    <row r="90" spans="2:7" x14ac:dyDescent="0.4">
      <c r="B90" s="1">
        <v>107</v>
      </c>
      <c r="C90" s="1" t="s">
        <v>29</v>
      </c>
      <c r="D90" s="1" t="s">
        <v>15</v>
      </c>
      <c r="E90" s="1"/>
      <c r="F90" s="1">
        <v>62000</v>
      </c>
      <c r="G90" s="1" t="s">
        <v>10</v>
      </c>
    </row>
    <row r="91" spans="2:7" x14ac:dyDescent="0.4">
      <c r="B91" s="1">
        <v>108</v>
      </c>
      <c r="C91" s="1" t="s">
        <v>20</v>
      </c>
      <c r="D91" s="1" t="s">
        <v>21</v>
      </c>
      <c r="E91" s="1"/>
      <c r="F91" s="1">
        <v>70000</v>
      </c>
      <c r="G91" s="1" t="s">
        <v>7</v>
      </c>
    </row>
    <row r="92" spans="2:7" x14ac:dyDescent="0.4">
      <c r="B92" s="1">
        <v>109</v>
      </c>
      <c r="C92" s="1" t="s">
        <v>23</v>
      </c>
      <c r="D92" s="1" t="s">
        <v>21</v>
      </c>
      <c r="E92" s="1"/>
      <c r="F92" s="1">
        <v>58000</v>
      </c>
      <c r="G92" s="1" t="s">
        <v>7</v>
      </c>
    </row>
    <row r="93" spans="2:7" x14ac:dyDescent="0.4">
      <c r="B93" s="1">
        <v>110</v>
      </c>
      <c r="C93" s="1" t="s">
        <v>24</v>
      </c>
      <c r="D93" s="1" t="s">
        <v>15</v>
      </c>
      <c r="E93" s="1"/>
      <c r="F93" s="1">
        <v>51000</v>
      </c>
      <c r="G93" s="1" t="s">
        <v>13</v>
      </c>
    </row>
    <row r="94" spans="2:7" x14ac:dyDescent="0.4">
      <c r="B94" s="1">
        <v>111</v>
      </c>
      <c r="C94" s="1" t="s">
        <v>37</v>
      </c>
      <c r="D94" s="1" t="s">
        <v>21</v>
      </c>
      <c r="E94" s="1"/>
      <c r="F94" s="1">
        <v>62000</v>
      </c>
      <c r="G94" s="1" t="s">
        <v>10</v>
      </c>
    </row>
    <row r="95" spans="2:7" x14ac:dyDescent="0.4">
      <c r="B95" s="1">
        <v>112</v>
      </c>
      <c r="C95" s="1" t="s">
        <v>38</v>
      </c>
      <c r="D95" s="1" t="s">
        <v>9</v>
      </c>
      <c r="E95" s="1"/>
      <c r="F95" s="1">
        <v>70000</v>
      </c>
      <c r="G95" s="1" t="s">
        <v>7</v>
      </c>
    </row>
    <row r="96" spans="2:7" x14ac:dyDescent="0.4">
      <c r="B96" s="1">
        <v>113</v>
      </c>
      <c r="C96" s="1" t="s">
        <v>39</v>
      </c>
      <c r="D96" s="1" t="s">
        <v>15</v>
      </c>
      <c r="E96" s="1"/>
      <c r="F96" s="1">
        <v>58000</v>
      </c>
      <c r="G96" s="1" t="s">
        <v>7</v>
      </c>
    </row>
    <row r="97" spans="2:7" x14ac:dyDescent="0.4">
      <c r="B97" s="1">
        <v>114</v>
      </c>
      <c r="C97" s="1" t="s">
        <v>40</v>
      </c>
      <c r="D97" s="1" t="s">
        <v>21</v>
      </c>
      <c r="E97" s="1"/>
      <c r="F97" s="1">
        <v>70000</v>
      </c>
      <c r="G97" s="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B22B-24E3-4DAA-9337-835AE8407960}">
  <dimension ref="A1:T97"/>
  <sheetViews>
    <sheetView workbookViewId="0">
      <pane ySplit="1" topLeftCell="A18" activePane="bottomLeft" state="frozen"/>
      <selection pane="bottomLeft" activeCell="J21" sqref="J21"/>
    </sheetView>
  </sheetViews>
  <sheetFormatPr defaultRowHeight="26.25" x14ac:dyDescent="0.4"/>
  <cols>
    <col min="1" max="1" width="2" customWidth="1"/>
    <col min="3" max="3" width="8.92578125" customWidth="1"/>
    <col min="4" max="4" width="10.7109375" customWidth="1"/>
    <col min="5" max="5" width="12.28515625" customWidth="1"/>
    <col min="9" max="9" width="12" customWidth="1"/>
    <col min="10" max="10" width="13.7109375" customWidth="1"/>
    <col min="11" max="11" width="10.28515625" customWidth="1"/>
  </cols>
  <sheetData>
    <row r="1" spans="1:20" ht="51.6" customHeight="1" thickBot="1" x14ac:dyDescent="0.45">
      <c r="A1" s="2"/>
      <c r="B1" s="4" t="s">
        <v>56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</row>
    <row r="3" spans="1:20" x14ac:dyDescent="0.4">
      <c r="B3" s="5" t="s">
        <v>0</v>
      </c>
      <c r="C3" s="5" t="s">
        <v>1</v>
      </c>
      <c r="D3" s="5" t="s">
        <v>2</v>
      </c>
      <c r="E3" s="5" t="s">
        <v>52</v>
      </c>
      <c r="F3" s="5" t="s">
        <v>3</v>
      </c>
      <c r="G3" s="5" t="s">
        <v>4</v>
      </c>
      <c r="I3" s="5" t="s">
        <v>2</v>
      </c>
      <c r="J3" s="5" t="s">
        <v>57</v>
      </c>
    </row>
    <row r="4" spans="1:20" x14ac:dyDescent="0.4">
      <c r="B4" s="1">
        <v>101</v>
      </c>
      <c r="C4" s="1" t="s">
        <v>5</v>
      </c>
      <c r="D4" s="1" t="s">
        <v>21</v>
      </c>
      <c r="E4" s="1" t="s">
        <v>53</v>
      </c>
      <c r="F4" s="1">
        <v>45000</v>
      </c>
      <c r="G4" s="1" t="s">
        <v>7</v>
      </c>
      <c r="I4" t="s">
        <v>41</v>
      </c>
      <c r="J4">
        <f>COUNTIF(D3:D17,I4)</f>
        <v>6</v>
      </c>
    </row>
    <row r="5" spans="1:20" x14ac:dyDescent="0.4">
      <c r="B5" s="1">
        <v>102</v>
      </c>
      <c r="C5" s="1" t="s">
        <v>8</v>
      </c>
      <c r="D5" s="1" t="s">
        <v>9</v>
      </c>
      <c r="E5" s="1" t="s">
        <v>54</v>
      </c>
      <c r="F5" s="1">
        <v>52000</v>
      </c>
      <c r="G5" s="1" t="s">
        <v>10</v>
      </c>
    </row>
    <row r="6" spans="1:20" x14ac:dyDescent="0.4">
      <c r="B6" s="1">
        <v>103</v>
      </c>
      <c r="C6" s="1" t="s">
        <v>11</v>
      </c>
      <c r="D6" s="1" t="s">
        <v>15</v>
      </c>
      <c r="E6" s="1" t="s">
        <v>53</v>
      </c>
      <c r="F6" s="1">
        <v>60000</v>
      </c>
      <c r="G6" s="1" t="s">
        <v>13</v>
      </c>
    </row>
    <row r="7" spans="1:20" x14ac:dyDescent="0.4">
      <c r="B7" s="1">
        <v>104</v>
      </c>
      <c r="C7" s="1" t="s">
        <v>28</v>
      </c>
      <c r="D7" s="1" t="s">
        <v>15</v>
      </c>
      <c r="E7" s="1" t="s">
        <v>54</v>
      </c>
      <c r="F7" s="1">
        <v>48000</v>
      </c>
      <c r="G7" s="1" t="s">
        <v>7</v>
      </c>
      <c r="I7" s="5" t="s">
        <v>52</v>
      </c>
      <c r="J7" s="5" t="s">
        <v>57</v>
      </c>
    </row>
    <row r="8" spans="1:20" x14ac:dyDescent="0.4">
      <c r="B8" s="1">
        <v>105</v>
      </c>
      <c r="C8" s="1" t="s">
        <v>16</v>
      </c>
      <c r="D8" s="1" t="s">
        <v>21</v>
      </c>
      <c r="E8" s="1" t="s">
        <v>53</v>
      </c>
      <c r="F8" s="1">
        <v>55000</v>
      </c>
      <c r="G8" s="1" t="s">
        <v>17</v>
      </c>
      <c r="I8" t="s">
        <v>55</v>
      </c>
      <c r="J8">
        <f>COUNTIF(E3:E17,I8)</f>
        <v>7</v>
      </c>
    </row>
    <row r="9" spans="1:20" x14ac:dyDescent="0.4">
      <c r="B9" s="1">
        <v>106</v>
      </c>
      <c r="C9" s="1" t="s">
        <v>18</v>
      </c>
      <c r="D9" s="1" t="s">
        <v>9</v>
      </c>
      <c r="E9" s="1" t="s">
        <v>54</v>
      </c>
      <c r="F9" s="1">
        <v>51000</v>
      </c>
      <c r="G9" s="1" t="s">
        <v>13</v>
      </c>
    </row>
    <row r="10" spans="1:20" x14ac:dyDescent="0.4">
      <c r="B10" s="1">
        <v>107</v>
      </c>
      <c r="C10" s="1" t="s">
        <v>29</v>
      </c>
      <c r="D10" s="1" t="s">
        <v>15</v>
      </c>
      <c r="E10" s="1" t="s">
        <v>53</v>
      </c>
      <c r="F10" s="1">
        <v>62000</v>
      </c>
      <c r="G10" s="1" t="s">
        <v>10</v>
      </c>
    </row>
    <row r="11" spans="1:20" x14ac:dyDescent="0.4">
      <c r="B11" s="1">
        <v>108</v>
      </c>
      <c r="C11" s="1" t="s">
        <v>20</v>
      </c>
      <c r="D11" s="1" t="s">
        <v>21</v>
      </c>
      <c r="E11" s="1" t="s">
        <v>54</v>
      </c>
      <c r="F11" s="1">
        <v>70000</v>
      </c>
      <c r="G11" s="1" t="s">
        <v>7</v>
      </c>
    </row>
    <row r="12" spans="1:20" x14ac:dyDescent="0.4">
      <c r="B12" s="1">
        <v>109</v>
      </c>
      <c r="C12" s="1" t="s">
        <v>23</v>
      </c>
      <c r="D12" s="1" t="s">
        <v>21</v>
      </c>
      <c r="E12" s="1" t="s">
        <v>53</v>
      </c>
      <c r="F12" s="1">
        <v>58000</v>
      </c>
      <c r="G12" s="1" t="s">
        <v>7</v>
      </c>
    </row>
    <row r="13" spans="1:20" x14ac:dyDescent="0.4">
      <c r="B13" s="1">
        <v>110</v>
      </c>
      <c r="C13" s="1" t="s">
        <v>24</v>
      </c>
      <c r="D13" s="1" t="s">
        <v>15</v>
      </c>
      <c r="E13" s="1" t="s">
        <v>54</v>
      </c>
      <c r="F13" s="1">
        <v>51000</v>
      </c>
      <c r="G13" s="1" t="s">
        <v>13</v>
      </c>
    </row>
    <row r="14" spans="1:20" x14ac:dyDescent="0.4">
      <c r="B14" s="1">
        <v>111</v>
      </c>
      <c r="C14" s="1" t="s">
        <v>37</v>
      </c>
      <c r="D14" s="1" t="s">
        <v>21</v>
      </c>
      <c r="E14" s="1" t="s">
        <v>53</v>
      </c>
      <c r="F14" s="1">
        <v>62000</v>
      </c>
      <c r="G14" s="1" t="s">
        <v>10</v>
      </c>
    </row>
    <row r="15" spans="1:20" x14ac:dyDescent="0.4">
      <c r="B15" s="1">
        <v>112</v>
      </c>
      <c r="C15" s="1" t="s">
        <v>38</v>
      </c>
      <c r="D15" s="1" t="s">
        <v>9</v>
      </c>
      <c r="E15" s="1" t="s">
        <v>54</v>
      </c>
      <c r="F15" s="1">
        <v>70000</v>
      </c>
      <c r="G15" s="1" t="s">
        <v>7</v>
      </c>
    </row>
    <row r="16" spans="1:20" x14ac:dyDescent="0.4">
      <c r="B16" s="1">
        <v>113</v>
      </c>
      <c r="C16" s="1" t="s">
        <v>39</v>
      </c>
      <c r="D16" s="1" t="s">
        <v>15</v>
      </c>
      <c r="E16" s="1" t="s">
        <v>53</v>
      </c>
      <c r="F16" s="1">
        <v>58000</v>
      </c>
      <c r="G16" s="1" t="s">
        <v>7</v>
      </c>
    </row>
    <row r="17" spans="2:11" x14ac:dyDescent="0.4">
      <c r="B17" s="1">
        <v>114</v>
      </c>
      <c r="C17" s="1" t="s">
        <v>40</v>
      </c>
      <c r="D17" s="1" t="s">
        <v>21</v>
      </c>
      <c r="E17" s="1" t="s">
        <v>54</v>
      </c>
      <c r="F17" s="1">
        <v>70000</v>
      </c>
      <c r="G17" s="1" t="s">
        <v>10</v>
      </c>
    </row>
    <row r="19" spans="2:11" x14ac:dyDescent="0.4">
      <c r="B19" s="5" t="s">
        <v>0</v>
      </c>
      <c r="C19" s="5" t="s">
        <v>1</v>
      </c>
      <c r="D19" s="5" t="s">
        <v>2</v>
      </c>
      <c r="E19" s="5" t="s">
        <v>52</v>
      </c>
      <c r="F19" s="5" t="s">
        <v>3</v>
      </c>
      <c r="G19" s="5" t="s">
        <v>4</v>
      </c>
      <c r="I19" s="5" t="s">
        <v>2</v>
      </c>
      <c r="J19" s="5" t="s">
        <v>52</v>
      </c>
      <c r="K19" s="5" t="s">
        <v>57</v>
      </c>
    </row>
    <row r="20" spans="2:11" x14ac:dyDescent="0.4">
      <c r="B20" s="1">
        <v>101</v>
      </c>
      <c r="C20" s="1" t="s">
        <v>5</v>
      </c>
      <c r="D20" s="1" t="s">
        <v>21</v>
      </c>
      <c r="E20" s="1" t="s">
        <v>53</v>
      </c>
      <c r="F20" s="1">
        <v>45000</v>
      </c>
      <c r="G20" s="1" t="s">
        <v>7</v>
      </c>
      <c r="I20" s="1" t="s">
        <v>41</v>
      </c>
      <c r="J20" s="1" t="s">
        <v>102</v>
      </c>
      <c r="K20" s="1">
        <f>COUNTIFS(D19:D33,I20,E19:E33,J20)</f>
        <v>2</v>
      </c>
    </row>
    <row r="21" spans="2:11" x14ac:dyDescent="0.4">
      <c r="B21" s="1">
        <v>102</v>
      </c>
      <c r="C21" s="1" t="s">
        <v>8</v>
      </c>
      <c r="D21" s="1" t="s">
        <v>9</v>
      </c>
      <c r="E21" s="1" t="s">
        <v>54</v>
      </c>
      <c r="F21" s="1">
        <v>52000</v>
      </c>
      <c r="G21" s="1" t="s">
        <v>10</v>
      </c>
    </row>
    <row r="22" spans="2:11" x14ac:dyDescent="0.4">
      <c r="B22" s="1">
        <v>103</v>
      </c>
      <c r="C22" s="1" t="s">
        <v>11</v>
      </c>
      <c r="D22" s="1" t="s">
        <v>15</v>
      </c>
      <c r="E22" s="1" t="s">
        <v>53</v>
      </c>
      <c r="F22" s="1">
        <v>60000</v>
      </c>
      <c r="G22" s="1" t="s">
        <v>13</v>
      </c>
    </row>
    <row r="23" spans="2:11" x14ac:dyDescent="0.4">
      <c r="B23" s="1">
        <v>104</v>
      </c>
      <c r="C23" s="1" t="s">
        <v>28</v>
      </c>
      <c r="D23" s="1" t="s">
        <v>15</v>
      </c>
      <c r="E23" s="1" t="s">
        <v>54</v>
      </c>
      <c r="F23" s="1">
        <v>48000</v>
      </c>
      <c r="G23" s="1" t="s">
        <v>7</v>
      </c>
    </row>
    <row r="24" spans="2:11" x14ac:dyDescent="0.4">
      <c r="B24" s="1">
        <v>105</v>
      </c>
      <c r="C24" s="1" t="s">
        <v>16</v>
      </c>
      <c r="D24" s="1" t="s">
        <v>21</v>
      </c>
      <c r="E24" s="1" t="s">
        <v>53</v>
      </c>
      <c r="F24" s="1">
        <v>55000</v>
      </c>
      <c r="G24" s="1" t="s">
        <v>17</v>
      </c>
    </row>
    <row r="25" spans="2:11" x14ac:dyDescent="0.4">
      <c r="B25" s="1">
        <v>106</v>
      </c>
      <c r="C25" s="1" t="s">
        <v>18</v>
      </c>
      <c r="D25" s="1" t="s">
        <v>9</v>
      </c>
      <c r="E25" s="1" t="s">
        <v>54</v>
      </c>
      <c r="F25" s="1">
        <v>51000</v>
      </c>
      <c r="G25" s="1" t="s">
        <v>13</v>
      </c>
    </row>
    <row r="26" spans="2:11" x14ac:dyDescent="0.4">
      <c r="B26" s="1">
        <v>107</v>
      </c>
      <c r="C26" s="1" t="s">
        <v>29</v>
      </c>
      <c r="D26" s="1" t="s">
        <v>15</v>
      </c>
      <c r="E26" s="1" t="s">
        <v>53</v>
      </c>
      <c r="F26" s="1">
        <v>62000</v>
      </c>
      <c r="G26" s="1" t="s">
        <v>10</v>
      </c>
    </row>
    <row r="27" spans="2:11" x14ac:dyDescent="0.4">
      <c r="B27" s="1">
        <v>108</v>
      </c>
      <c r="C27" s="1" t="s">
        <v>20</v>
      </c>
      <c r="D27" s="1" t="s">
        <v>21</v>
      </c>
      <c r="E27" s="1" t="s">
        <v>54</v>
      </c>
      <c r="F27" s="1">
        <v>70000</v>
      </c>
      <c r="G27" s="1" t="s">
        <v>7</v>
      </c>
    </row>
    <row r="28" spans="2:11" x14ac:dyDescent="0.4">
      <c r="B28" s="1">
        <v>109</v>
      </c>
      <c r="C28" s="1" t="s">
        <v>23</v>
      </c>
      <c r="D28" s="1" t="s">
        <v>21</v>
      </c>
      <c r="E28" s="1" t="s">
        <v>53</v>
      </c>
      <c r="F28" s="1">
        <v>58000</v>
      </c>
      <c r="G28" s="1" t="s">
        <v>7</v>
      </c>
    </row>
    <row r="29" spans="2:11" x14ac:dyDescent="0.4">
      <c r="B29" s="1">
        <v>110</v>
      </c>
      <c r="C29" s="1" t="s">
        <v>24</v>
      </c>
      <c r="D29" s="1" t="s">
        <v>15</v>
      </c>
      <c r="E29" s="1" t="s">
        <v>54</v>
      </c>
      <c r="F29" s="1">
        <v>51000</v>
      </c>
      <c r="G29" s="1" t="s">
        <v>13</v>
      </c>
    </row>
    <row r="30" spans="2:11" x14ac:dyDescent="0.4">
      <c r="B30" s="1">
        <v>111</v>
      </c>
      <c r="C30" s="1" t="s">
        <v>37</v>
      </c>
      <c r="D30" s="1" t="s">
        <v>21</v>
      </c>
      <c r="E30" s="1" t="s">
        <v>53</v>
      </c>
      <c r="F30" s="1">
        <v>62000</v>
      </c>
      <c r="G30" s="1" t="s">
        <v>10</v>
      </c>
    </row>
    <row r="31" spans="2:11" x14ac:dyDescent="0.4">
      <c r="B31" s="1">
        <v>112</v>
      </c>
      <c r="C31" s="1" t="s">
        <v>38</v>
      </c>
      <c r="D31" s="1" t="s">
        <v>9</v>
      </c>
      <c r="E31" s="1" t="s">
        <v>54</v>
      </c>
      <c r="F31" s="1">
        <v>70000</v>
      </c>
      <c r="G31" s="1" t="s">
        <v>7</v>
      </c>
    </row>
    <row r="32" spans="2:11" x14ac:dyDescent="0.4">
      <c r="B32" s="1">
        <v>113</v>
      </c>
      <c r="C32" s="1" t="s">
        <v>39</v>
      </c>
      <c r="D32" s="1" t="s">
        <v>15</v>
      </c>
      <c r="E32" s="1" t="s">
        <v>53</v>
      </c>
      <c r="F32" s="1">
        <v>58000</v>
      </c>
      <c r="G32" s="1" t="s">
        <v>7</v>
      </c>
    </row>
    <row r="33" spans="2:7" x14ac:dyDescent="0.4">
      <c r="B33" s="1">
        <v>114</v>
      </c>
      <c r="C33" s="1" t="s">
        <v>40</v>
      </c>
      <c r="D33" s="1" t="s">
        <v>21</v>
      </c>
      <c r="E33" s="1" t="s">
        <v>54</v>
      </c>
      <c r="F33" s="1">
        <v>70000</v>
      </c>
      <c r="G33" s="1" t="s">
        <v>10</v>
      </c>
    </row>
    <row r="35" spans="2:7" x14ac:dyDescent="0.4">
      <c r="B35" s="5" t="s">
        <v>0</v>
      </c>
      <c r="C35" s="5" t="s">
        <v>1</v>
      </c>
      <c r="D35" s="5" t="s">
        <v>2</v>
      </c>
      <c r="E35" s="5"/>
      <c r="F35" s="5" t="s">
        <v>3</v>
      </c>
      <c r="G35" s="5" t="s">
        <v>4</v>
      </c>
    </row>
    <row r="36" spans="2:7" x14ac:dyDescent="0.4">
      <c r="B36" s="1">
        <v>101</v>
      </c>
      <c r="C36" s="1" t="s">
        <v>5</v>
      </c>
      <c r="D36" s="1" t="s">
        <v>21</v>
      </c>
      <c r="E36" s="1"/>
      <c r="F36" s="1">
        <v>45000</v>
      </c>
      <c r="G36" s="1" t="s">
        <v>7</v>
      </c>
    </row>
    <row r="37" spans="2:7" x14ac:dyDescent="0.4">
      <c r="B37" s="1">
        <v>102</v>
      </c>
      <c r="C37" s="1" t="s">
        <v>8</v>
      </c>
      <c r="D37" s="1" t="s">
        <v>9</v>
      </c>
      <c r="E37" s="1"/>
      <c r="F37" s="1">
        <v>52000</v>
      </c>
      <c r="G37" s="1" t="s">
        <v>10</v>
      </c>
    </row>
    <row r="38" spans="2:7" x14ac:dyDescent="0.4">
      <c r="B38" s="1">
        <v>103</v>
      </c>
      <c r="C38" s="1" t="s">
        <v>11</v>
      </c>
      <c r="D38" s="1" t="s">
        <v>15</v>
      </c>
      <c r="E38" s="1"/>
      <c r="F38" s="1">
        <v>60000</v>
      </c>
      <c r="G38" s="1" t="s">
        <v>13</v>
      </c>
    </row>
    <row r="39" spans="2:7" x14ac:dyDescent="0.4">
      <c r="B39" s="1">
        <v>104</v>
      </c>
      <c r="C39" s="1" t="s">
        <v>28</v>
      </c>
      <c r="D39" s="1" t="s">
        <v>15</v>
      </c>
      <c r="E39" s="1"/>
      <c r="F39" s="1">
        <v>48000</v>
      </c>
      <c r="G39" s="1" t="s">
        <v>7</v>
      </c>
    </row>
    <row r="40" spans="2:7" x14ac:dyDescent="0.4">
      <c r="B40" s="1">
        <v>105</v>
      </c>
      <c r="C40" s="1" t="s">
        <v>16</v>
      </c>
      <c r="D40" s="1" t="s">
        <v>21</v>
      </c>
      <c r="E40" s="1"/>
      <c r="F40" s="1">
        <v>55000</v>
      </c>
      <c r="G40" s="1" t="s">
        <v>17</v>
      </c>
    </row>
    <row r="41" spans="2:7" x14ac:dyDescent="0.4">
      <c r="B41" s="1">
        <v>106</v>
      </c>
      <c r="C41" s="1" t="s">
        <v>18</v>
      </c>
      <c r="D41" s="1" t="s">
        <v>9</v>
      </c>
      <c r="E41" s="1"/>
      <c r="F41" s="1">
        <v>51000</v>
      </c>
      <c r="G41" s="1" t="s">
        <v>13</v>
      </c>
    </row>
    <row r="42" spans="2:7" x14ac:dyDescent="0.4">
      <c r="B42" s="1">
        <v>107</v>
      </c>
      <c r="C42" s="1" t="s">
        <v>29</v>
      </c>
      <c r="D42" s="1" t="s">
        <v>15</v>
      </c>
      <c r="E42" s="1"/>
      <c r="F42" s="1">
        <v>62000</v>
      </c>
      <c r="G42" s="1" t="s">
        <v>10</v>
      </c>
    </row>
    <row r="43" spans="2:7" x14ac:dyDescent="0.4">
      <c r="B43" s="1">
        <v>108</v>
      </c>
      <c r="C43" s="1" t="s">
        <v>20</v>
      </c>
      <c r="D43" s="1" t="s">
        <v>21</v>
      </c>
      <c r="E43" s="1"/>
      <c r="F43" s="1">
        <v>70000</v>
      </c>
      <c r="G43" s="1" t="s">
        <v>7</v>
      </c>
    </row>
    <row r="44" spans="2:7" x14ac:dyDescent="0.4">
      <c r="B44" s="1">
        <v>109</v>
      </c>
      <c r="C44" s="1" t="s">
        <v>23</v>
      </c>
      <c r="D44" s="1" t="s">
        <v>21</v>
      </c>
      <c r="E44" s="1"/>
      <c r="F44" s="1">
        <v>58000</v>
      </c>
      <c r="G44" s="1" t="s">
        <v>7</v>
      </c>
    </row>
    <row r="45" spans="2:7" x14ac:dyDescent="0.4">
      <c r="B45" s="1">
        <v>110</v>
      </c>
      <c r="C45" s="1" t="s">
        <v>24</v>
      </c>
      <c r="D45" s="1" t="s">
        <v>15</v>
      </c>
      <c r="E45" s="1"/>
      <c r="F45" s="1">
        <v>51000</v>
      </c>
      <c r="G45" s="1" t="s">
        <v>13</v>
      </c>
    </row>
    <row r="46" spans="2:7" x14ac:dyDescent="0.4">
      <c r="B46" s="1">
        <v>111</v>
      </c>
      <c r="C46" s="1" t="s">
        <v>37</v>
      </c>
      <c r="D46" s="1" t="s">
        <v>21</v>
      </c>
      <c r="E46" s="1"/>
      <c r="F46" s="1">
        <v>62000</v>
      </c>
      <c r="G46" s="1" t="s">
        <v>10</v>
      </c>
    </row>
    <row r="47" spans="2:7" x14ac:dyDescent="0.4">
      <c r="B47" s="1">
        <v>112</v>
      </c>
      <c r="C47" s="1" t="s">
        <v>38</v>
      </c>
      <c r="D47" s="1" t="s">
        <v>9</v>
      </c>
      <c r="E47" s="1"/>
      <c r="F47" s="1">
        <v>70000</v>
      </c>
      <c r="G47" s="1" t="s">
        <v>7</v>
      </c>
    </row>
    <row r="48" spans="2:7" x14ac:dyDescent="0.4">
      <c r="B48" s="1">
        <v>113</v>
      </c>
      <c r="C48" s="1" t="s">
        <v>39</v>
      </c>
      <c r="D48" s="1" t="s">
        <v>15</v>
      </c>
      <c r="E48" s="1"/>
      <c r="F48" s="1">
        <v>58000</v>
      </c>
      <c r="G48" s="1" t="s">
        <v>7</v>
      </c>
    </row>
    <row r="49" spans="2:7" x14ac:dyDescent="0.4">
      <c r="B49" s="1">
        <v>114</v>
      </c>
      <c r="C49" s="1" t="s">
        <v>40</v>
      </c>
      <c r="D49" s="1" t="s">
        <v>21</v>
      </c>
      <c r="E49" s="1"/>
      <c r="F49" s="1">
        <v>70000</v>
      </c>
      <c r="G49" s="1" t="s">
        <v>10</v>
      </c>
    </row>
    <row r="51" spans="2:7" x14ac:dyDescent="0.4">
      <c r="B51" s="5" t="s">
        <v>0</v>
      </c>
      <c r="C51" s="5" t="s">
        <v>1</v>
      </c>
      <c r="D51" s="5" t="s">
        <v>2</v>
      </c>
      <c r="E51" s="5"/>
      <c r="F51" s="5" t="s">
        <v>3</v>
      </c>
      <c r="G51" s="5" t="s">
        <v>4</v>
      </c>
    </row>
    <row r="52" spans="2:7" x14ac:dyDescent="0.4">
      <c r="B52" s="1">
        <v>101</v>
      </c>
      <c r="C52" s="1" t="s">
        <v>5</v>
      </c>
      <c r="D52" s="1" t="s">
        <v>21</v>
      </c>
      <c r="E52" s="1"/>
      <c r="F52" s="1">
        <v>45000</v>
      </c>
      <c r="G52" s="1" t="s">
        <v>7</v>
      </c>
    </row>
    <row r="53" spans="2:7" x14ac:dyDescent="0.4">
      <c r="B53" s="1">
        <v>102</v>
      </c>
      <c r="C53" s="1" t="s">
        <v>8</v>
      </c>
      <c r="D53" s="1" t="s">
        <v>9</v>
      </c>
      <c r="E53" s="1"/>
      <c r="F53" s="1">
        <v>52000</v>
      </c>
      <c r="G53" s="1" t="s">
        <v>10</v>
      </c>
    </row>
    <row r="54" spans="2:7" x14ac:dyDescent="0.4">
      <c r="B54" s="1">
        <v>103</v>
      </c>
      <c r="C54" s="1" t="s">
        <v>11</v>
      </c>
      <c r="D54" s="1" t="s">
        <v>15</v>
      </c>
      <c r="E54" s="1"/>
      <c r="F54" s="1">
        <v>60000</v>
      </c>
      <c r="G54" s="1" t="s">
        <v>13</v>
      </c>
    </row>
    <row r="55" spans="2:7" x14ac:dyDescent="0.4">
      <c r="B55" s="1">
        <v>104</v>
      </c>
      <c r="C55" s="1" t="s">
        <v>28</v>
      </c>
      <c r="D55" s="1" t="s">
        <v>15</v>
      </c>
      <c r="E55" s="1"/>
      <c r="F55" s="1">
        <v>48000</v>
      </c>
      <c r="G55" s="1" t="s">
        <v>7</v>
      </c>
    </row>
    <row r="56" spans="2:7" x14ac:dyDescent="0.4">
      <c r="B56" s="1">
        <v>105</v>
      </c>
      <c r="C56" s="1" t="s">
        <v>16</v>
      </c>
      <c r="D56" s="1" t="s">
        <v>21</v>
      </c>
      <c r="E56" s="1"/>
      <c r="F56" s="1">
        <v>55000</v>
      </c>
      <c r="G56" s="1" t="s">
        <v>17</v>
      </c>
    </row>
    <row r="57" spans="2:7" x14ac:dyDescent="0.4">
      <c r="B57" s="1">
        <v>106</v>
      </c>
      <c r="C57" s="1" t="s">
        <v>18</v>
      </c>
      <c r="D57" s="1" t="s">
        <v>9</v>
      </c>
      <c r="E57" s="1"/>
      <c r="F57" s="1">
        <v>51000</v>
      </c>
      <c r="G57" s="1" t="s">
        <v>13</v>
      </c>
    </row>
    <row r="58" spans="2:7" x14ac:dyDescent="0.4">
      <c r="B58" s="1">
        <v>107</v>
      </c>
      <c r="C58" s="1" t="s">
        <v>29</v>
      </c>
      <c r="D58" s="1" t="s">
        <v>15</v>
      </c>
      <c r="E58" s="1"/>
      <c r="F58" s="1">
        <v>62000</v>
      </c>
      <c r="G58" s="1" t="s">
        <v>10</v>
      </c>
    </row>
    <row r="59" spans="2:7" x14ac:dyDescent="0.4">
      <c r="B59" s="1">
        <v>108</v>
      </c>
      <c r="C59" s="1" t="s">
        <v>20</v>
      </c>
      <c r="D59" s="1" t="s">
        <v>21</v>
      </c>
      <c r="E59" s="1"/>
      <c r="F59" s="1">
        <v>70000</v>
      </c>
      <c r="G59" s="1" t="s">
        <v>7</v>
      </c>
    </row>
    <row r="60" spans="2:7" x14ac:dyDescent="0.4">
      <c r="B60" s="1">
        <v>109</v>
      </c>
      <c r="C60" s="1" t="s">
        <v>23</v>
      </c>
      <c r="D60" s="1" t="s">
        <v>21</v>
      </c>
      <c r="E60" s="1"/>
      <c r="F60" s="1">
        <v>58000</v>
      </c>
      <c r="G60" s="1" t="s">
        <v>7</v>
      </c>
    </row>
    <row r="61" spans="2:7" x14ac:dyDescent="0.4">
      <c r="B61" s="1">
        <v>110</v>
      </c>
      <c r="C61" s="1" t="s">
        <v>24</v>
      </c>
      <c r="D61" s="1" t="s">
        <v>15</v>
      </c>
      <c r="E61" s="1"/>
      <c r="F61" s="1">
        <v>51000</v>
      </c>
      <c r="G61" s="1" t="s">
        <v>13</v>
      </c>
    </row>
    <row r="62" spans="2:7" x14ac:dyDescent="0.4">
      <c r="B62" s="1">
        <v>111</v>
      </c>
      <c r="C62" s="1" t="s">
        <v>37</v>
      </c>
      <c r="D62" s="1" t="s">
        <v>21</v>
      </c>
      <c r="E62" s="1"/>
      <c r="F62" s="1">
        <v>62000</v>
      </c>
      <c r="G62" s="1" t="s">
        <v>10</v>
      </c>
    </row>
    <row r="63" spans="2:7" x14ac:dyDescent="0.4">
      <c r="B63" s="1">
        <v>112</v>
      </c>
      <c r="C63" s="1" t="s">
        <v>38</v>
      </c>
      <c r="D63" s="1" t="s">
        <v>9</v>
      </c>
      <c r="E63" s="1"/>
      <c r="F63" s="1">
        <v>70000</v>
      </c>
      <c r="G63" s="1" t="s">
        <v>7</v>
      </c>
    </row>
    <row r="64" spans="2:7" x14ac:dyDescent="0.4">
      <c r="B64" s="1">
        <v>113</v>
      </c>
      <c r="C64" s="1" t="s">
        <v>39</v>
      </c>
      <c r="D64" s="1" t="s">
        <v>15</v>
      </c>
      <c r="E64" s="1"/>
      <c r="F64" s="1">
        <v>58000</v>
      </c>
      <c r="G64" s="1" t="s">
        <v>7</v>
      </c>
    </row>
    <row r="65" spans="2:7" x14ac:dyDescent="0.4">
      <c r="B65" s="1">
        <v>114</v>
      </c>
      <c r="C65" s="1" t="s">
        <v>40</v>
      </c>
      <c r="D65" s="1" t="s">
        <v>21</v>
      </c>
      <c r="E65" s="1"/>
      <c r="F65" s="1">
        <v>70000</v>
      </c>
      <c r="G65" s="1" t="s">
        <v>10</v>
      </c>
    </row>
    <row r="67" spans="2:7" x14ac:dyDescent="0.4">
      <c r="B67" s="5" t="s">
        <v>0</v>
      </c>
      <c r="C67" s="5" t="s">
        <v>1</v>
      </c>
      <c r="D67" s="5" t="s">
        <v>2</v>
      </c>
      <c r="E67" s="5"/>
      <c r="F67" s="5" t="s">
        <v>3</v>
      </c>
      <c r="G67" s="5" t="s">
        <v>4</v>
      </c>
    </row>
    <row r="68" spans="2:7" x14ac:dyDescent="0.4">
      <c r="B68" s="1">
        <v>101</v>
      </c>
      <c r="C68" s="1" t="s">
        <v>5</v>
      </c>
      <c r="D68" s="1" t="s">
        <v>21</v>
      </c>
      <c r="E68" s="1"/>
      <c r="F68" s="1">
        <v>45000</v>
      </c>
      <c r="G68" s="1" t="s">
        <v>7</v>
      </c>
    </row>
    <row r="69" spans="2:7" x14ac:dyDescent="0.4">
      <c r="B69" s="1">
        <v>102</v>
      </c>
      <c r="C69" s="1" t="s">
        <v>8</v>
      </c>
      <c r="D69" s="1" t="s">
        <v>9</v>
      </c>
      <c r="E69" s="1"/>
      <c r="F69" s="1">
        <v>52000</v>
      </c>
      <c r="G69" s="1" t="s">
        <v>10</v>
      </c>
    </row>
    <row r="70" spans="2:7" x14ac:dyDescent="0.4">
      <c r="B70" s="1">
        <v>103</v>
      </c>
      <c r="C70" s="1" t="s">
        <v>11</v>
      </c>
      <c r="D70" s="1" t="s">
        <v>15</v>
      </c>
      <c r="E70" s="1"/>
      <c r="F70" s="1">
        <v>60000</v>
      </c>
      <c r="G70" s="1" t="s">
        <v>13</v>
      </c>
    </row>
    <row r="71" spans="2:7" x14ac:dyDescent="0.4">
      <c r="B71" s="1">
        <v>104</v>
      </c>
      <c r="C71" s="1" t="s">
        <v>28</v>
      </c>
      <c r="D71" s="1" t="s">
        <v>15</v>
      </c>
      <c r="E71" s="1"/>
      <c r="F71" s="1">
        <v>48000</v>
      </c>
      <c r="G71" s="1" t="s">
        <v>7</v>
      </c>
    </row>
    <row r="72" spans="2:7" x14ac:dyDescent="0.4">
      <c r="B72" s="1">
        <v>105</v>
      </c>
      <c r="C72" s="1" t="s">
        <v>16</v>
      </c>
      <c r="D72" s="1" t="s">
        <v>21</v>
      </c>
      <c r="E72" s="1"/>
      <c r="F72" s="1">
        <v>55000</v>
      </c>
      <c r="G72" s="1" t="s">
        <v>17</v>
      </c>
    </row>
    <row r="73" spans="2:7" x14ac:dyDescent="0.4">
      <c r="B73" s="1">
        <v>106</v>
      </c>
      <c r="C73" s="1" t="s">
        <v>18</v>
      </c>
      <c r="D73" s="1" t="s">
        <v>9</v>
      </c>
      <c r="E73" s="1"/>
      <c r="F73" s="1">
        <v>51000</v>
      </c>
      <c r="G73" s="1" t="s">
        <v>13</v>
      </c>
    </row>
    <row r="74" spans="2:7" x14ac:dyDescent="0.4">
      <c r="B74" s="1">
        <v>107</v>
      </c>
      <c r="C74" s="1" t="s">
        <v>29</v>
      </c>
      <c r="D74" s="1" t="s">
        <v>15</v>
      </c>
      <c r="E74" s="1"/>
      <c r="F74" s="1">
        <v>62000</v>
      </c>
      <c r="G74" s="1" t="s">
        <v>10</v>
      </c>
    </row>
    <row r="75" spans="2:7" x14ac:dyDescent="0.4">
      <c r="B75" s="1">
        <v>108</v>
      </c>
      <c r="C75" s="1" t="s">
        <v>20</v>
      </c>
      <c r="D75" s="1" t="s">
        <v>21</v>
      </c>
      <c r="E75" s="1"/>
      <c r="F75" s="1">
        <v>70000</v>
      </c>
      <c r="G75" s="1" t="s">
        <v>7</v>
      </c>
    </row>
    <row r="76" spans="2:7" x14ac:dyDescent="0.4">
      <c r="B76" s="1">
        <v>109</v>
      </c>
      <c r="C76" s="1" t="s">
        <v>23</v>
      </c>
      <c r="D76" s="1" t="s">
        <v>21</v>
      </c>
      <c r="E76" s="1"/>
      <c r="F76" s="1">
        <v>58000</v>
      </c>
      <c r="G76" s="1" t="s">
        <v>7</v>
      </c>
    </row>
    <row r="77" spans="2:7" x14ac:dyDescent="0.4">
      <c r="B77" s="1">
        <v>110</v>
      </c>
      <c r="C77" s="1" t="s">
        <v>24</v>
      </c>
      <c r="D77" s="1" t="s">
        <v>15</v>
      </c>
      <c r="E77" s="1"/>
      <c r="F77" s="1">
        <v>51000</v>
      </c>
      <c r="G77" s="1" t="s">
        <v>13</v>
      </c>
    </row>
    <row r="78" spans="2:7" x14ac:dyDescent="0.4">
      <c r="B78" s="1">
        <v>111</v>
      </c>
      <c r="C78" s="1" t="s">
        <v>37</v>
      </c>
      <c r="D78" s="1" t="s">
        <v>21</v>
      </c>
      <c r="E78" s="1"/>
      <c r="F78" s="1">
        <v>62000</v>
      </c>
      <c r="G78" s="1" t="s">
        <v>10</v>
      </c>
    </row>
    <row r="79" spans="2:7" x14ac:dyDescent="0.4">
      <c r="B79" s="1">
        <v>112</v>
      </c>
      <c r="C79" s="1" t="s">
        <v>38</v>
      </c>
      <c r="D79" s="1" t="s">
        <v>9</v>
      </c>
      <c r="E79" s="1"/>
      <c r="F79" s="1">
        <v>70000</v>
      </c>
      <c r="G79" s="1" t="s">
        <v>7</v>
      </c>
    </row>
    <row r="80" spans="2:7" x14ac:dyDescent="0.4">
      <c r="B80" s="1">
        <v>113</v>
      </c>
      <c r="C80" s="1" t="s">
        <v>39</v>
      </c>
      <c r="D80" s="1" t="s">
        <v>15</v>
      </c>
      <c r="E80" s="1"/>
      <c r="F80" s="1">
        <v>58000</v>
      </c>
      <c r="G80" s="1" t="s">
        <v>7</v>
      </c>
    </row>
    <row r="81" spans="2:7" x14ac:dyDescent="0.4">
      <c r="B81" s="1">
        <v>114</v>
      </c>
      <c r="C81" s="1" t="s">
        <v>40</v>
      </c>
      <c r="D81" s="1" t="s">
        <v>21</v>
      </c>
      <c r="E81" s="1"/>
      <c r="F81" s="1">
        <v>70000</v>
      </c>
      <c r="G81" s="1" t="s">
        <v>10</v>
      </c>
    </row>
    <row r="83" spans="2:7" x14ac:dyDescent="0.4">
      <c r="B83" s="5" t="s">
        <v>0</v>
      </c>
      <c r="C83" s="5" t="s">
        <v>1</v>
      </c>
      <c r="D83" s="5" t="s">
        <v>2</v>
      </c>
      <c r="E83" s="5"/>
      <c r="F83" s="5" t="s">
        <v>3</v>
      </c>
      <c r="G83" s="5" t="s">
        <v>4</v>
      </c>
    </row>
    <row r="84" spans="2:7" x14ac:dyDescent="0.4">
      <c r="B84" s="1">
        <v>101</v>
      </c>
      <c r="C84" s="1" t="s">
        <v>5</v>
      </c>
      <c r="D84" s="1" t="s">
        <v>21</v>
      </c>
      <c r="E84" s="1"/>
      <c r="F84" s="1">
        <v>45000</v>
      </c>
      <c r="G84" s="1" t="s">
        <v>7</v>
      </c>
    </row>
    <row r="85" spans="2:7" x14ac:dyDescent="0.4">
      <c r="B85" s="1">
        <v>102</v>
      </c>
      <c r="C85" s="1" t="s">
        <v>8</v>
      </c>
      <c r="D85" s="1" t="s">
        <v>9</v>
      </c>
      <c r="E85" s="1"/>
      <c r="F85" s="1">
        <v>52000</v>
      </c>
      <c r="G85" s="1" t="s">
        <v>10</v>
      </c>
    </row>
    <row r="86" spans="2:7" x14ac:dyDescent="0.4">
      <c r="B86" s="1">
        <v>103</v>
      </c>
      <c r="C86" s="1" t="s">
        <v>11</v>
      </c>
      <c r="D86" s="1" t="s">
        <v>15</v>
      </c>
      <c r="E86" s="1"/>
      <c r="F86" s="1">
        <v>60000</v>
      </c>
      <c r="G86" s="1" t="s">
        <v>13</v>
      </c>
    </row>
    <row r="87" spans="2:7" x14ac:dyDescent="0.4">
      <c r="B87" s="1">
        <v>104</v>
      </c>
      <c r="C87" s="1" t="s">
        <v>28</v>
      </c>
      <c r="D87" s="1" t="s">
        <v>15</v>
      </c>
      <c r="E87" s="1"/>
      <c r="F87" s="1">
        <v>48000</v>
      </c>
      <c r="G87" s="1" t="s">
        <v>7</v>
      </c>
    </row>
    <row r="88" spans="2:7" x14ac:dyDescent="0.4">
      <c r="B88" s="1">
        <v>105</v>
      </c>
      <c r="C88" s="1" t="s">
        <v>16</v>
      </c>
      <c r="D88" s="1" t="s">
        <v>21</v>
      </c>
      <c r="E88" s="1"/>
      <c r="F88" s="1">
        <v>55000</v>
      </c>
      <c r="G88" s="1" t="s">
        <v>17</v>
      </c>
    </row>
    <row r="89" spans="2:7" x14ac:dyDescent="0.4">
      <c r="B89" s="1">
        <v>106</v>
      </c>
      <c r="C89" s="1" t="s">
        <v>18</v>
      </c>
      <c r="D89" s="1" t="s">
        <v>9</v>
      </c>
      <c r="E89" s="1"/>
      <c r="F89" s="1">
        <v>51000</v>
      </c>
      <c r="G89" s="1" t="s">
        <v>13</v>
      </c>
    </row>
    <row r="90" spans="2:7" x14ac:dyDescent="0.4">
      <c r="B90" s="1">
        <v>107</v>
      </c>
      <c r="C90" s="1" t="s">
        <v>29</v>
      </c>
      <c r="D90" s="1" t="s">
        <v>15</v>
      </c>
      <c r="E90" s="1"/>
      <c r="F90" s="1">
        <v>62000</v>
      </c>
      <c r="G90" s="1" t="s">
        <v>10</v>
      </c>
    </row>
    <row r="91" spans="2:7" x14ac:dyDescent="0.4">
      <c r="B91" s="1">
        <v>108</v>
      </c>
      <c r="C91" s="1" t="s">
        <v>20</v>
      </c>
      <c r="D91" s="1" t="s">
        <v>21</v>
      </c>
      <c r="E91" s="1"/>
      <c r="F91" s="1">
        <v>70000</v>
      </c>
      <c r="G91" s="1" t="s">
        <v>7</v>
      </c>
    </row>
    <row r="92" spans="2:7" x14ac:dyDescent="0.4">
      <c r="B92" s="1">
        <v>109</v>
      </c>
      <c r="C92" s="1" t="s">
        <v>23</v>
      </c>
      <c r="D92" s="1" t="s">
        <v>21</v>
      </c>
      <c r="E92" s="1"/>
      <c r="F92" s="1">
        <v>58000</v>
      </c>
      <c r="G92" s="1" t="s">
        <v>7</v>
      </c>
    </row>
    <row r="93" spans="2:7" x14ac:dyDescent="0.4">
      <c r="B93" s="1">
        <v>110</v>
      </c>
      <c r="C93" s="1" t="s">
        <v>24</v>
      </c>
      <c r="D93" s="1" t="s">
        <v>15</v>
      </c>
      <c r="E93" s="1"/>
      <c r="F93" s="1">
        <v>51000</v>
      </c>
      <c r="G93" s="1" t="s">
        <v>13</v>
      </c>
    </row>
    <row r="94" spans="2:7" x14ac:dyDescent="0.4">
      <c r="B94" s="1">
        <v>111</v>
      </c>
      <c r="C94" s="1" t="s">
        <v>37</v>
      </c>
      <c r="D94" s="1" t="s">
        <v>21</v>
      </c>
      <c r="E94" s="1"/>
      <c r="F94" s="1">
        <v>62000</v>
      </c>
      <c r="G94" s="1" t="s">
        <v>10</v>
      </c>
    </row>
    <row r="95" spans="2:7" x14ac:dyDescent="0.4">
      <c r="B95" s="1">
        <v>112</v>
      </c>
      <c r="C95" s="1" t="s">
        <v>38</v>
      </c>
      <c r="D95" s="1" t="s">
        <v>9</v>
      </c>
      <c r="E95" s="1"/>
      <c r="F95" s="1">
        <v>70000</v>
      </c>
      <c r="G95" s="1" t="s">
        <v>7</v>
      </c>
    </row>
    <row r="96" spans="2:7" x14ac:dyDescent="0.4">
      <c r="B96" s="1">
        <v>113</v>
      </c>
      <c r="C96" s="1" t="s">
        <v>39</v>
      </c>
      <c r="D96" s="1" t="s">
        <v>15</v>
      </c>
      <c r="E96" s="1"/>
      <c r="F96" s="1">
        <v>58000</v>
      </c>
      <c r="G96" s="1" t="s">
        <v>7</v>
      </c>
    </row>
    <row r="97" spans="2:7" x14ac:dyDescent="0.4">
      <c r="B97" s="1">
        <v>114</v>
      </c>
      <c r="C97" s="1" t="s">
        <v>40</v>
      </c>
      <c r="D97" s="1" t="s">
        <v>21</v>
      </c>
      <c r="E97" s="1"/>
      <c r="F97" s="1">
        <v>70000</v>
      </c>
      <c r="G97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FA8D-4C5A-46D6-93B4-AF0F987EA7EA}">
  <dimension ref="A1:R17"/>
  <sheetViews>
    <sheetView workbookViewId="0">
      <pane ySplit="1" topLeftCell="A3" activePane="bottomLeft" state="frozen"/>
      <selection pane="bottomLeft" activeCell="E17" sqref="E17"/>
    </sheetView>
  </sheetViews>
  <sheetFormatPr defaultRowHeight="26.25" x14ac:dyDescent="0.4"/>
  <cols>
    <col min="1" max="1" width="2" customWidth="1"/>
    <col min="2" max="2" width="13.0703125" customWidth="1"/>
    <col min="3" max="3" width="10" customWidth="1"/>
    <col min="4" max="5" width="9" customWidth="1"/>
    <col min="7" max="7" width="12" customWidth="1"/>
    <col min="8" max="8" width="13.7109375" customWidth="1"/>
    <col min="9" max="9" width="10.28515625" customWidth="1"/>
  </cols>
  <sheetData>
    <row r="1" spans="1:18" ht="51.6" customHeight="1" thickBot="1" x14ac:dyDescent="0.45">
      <c r="A1" s="2"/>
      <c r="B1" s="4" t="s">
        <v>58</v>
      </c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</row>
    <row r="2" spans="1:18" ht="27" customHeight="1" x14ac:dyDescent="0.4">
      <c r="A2" s="2"/>
      <c r="B2" s="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4">
      <c r="B3" s="5" t="s">
        <v>59</v>
      </c>
      <c r="C3" s="5" t="s">
        <v>60</v>
      </c>
      <c r="D3" s="5" t="s">
        <v>6</v>
      </c>
      <c r="E3" s="5" t="s">
        <v>61</v>
      </c>
    </row>
    <row r="4" spans="1:18" x14ac:dyDescent="0.4">
      <c r="B4" s="1" t="s">
        <v>62</v>
      </c>
      <c r="C4" s="1" t="s">
        <v>65</v>
      </c>
      <c r="D4" s="1">
        <v>4500</v>
      </c>
      <c r="E4" s="1">
        <v>20</v>
      </c>
    </row>
    <row r="5" spans="1:18" x14ac:dyDescent="0.4">
      <c r="B5" s="1" t="s">
        <v>63</v>
      </c>
      <c r="C5" s="1" t="s">
        <v>64</v>
      </c>
      <c r="D5" s="1">
        <v>15000</v>
      </c>
      <c r="E5" s="1">
        <v>5</v>
      </c>
    </row>
    <row r="6" spans="1:18" x14ac:dyDescent="0.4">
      <c r="B6" s="1" t="s">
        <v>62</v>
      </c>
      <c r="C6" s="1" t="s">
        <v>65</v>
      </c>
      <c r="D6" s="1">
        <v>3000</v>
      </c>
      <c r="E6" s="1">
        <v>18</v>
      </c>
    </row>
    <row r="7" spans="1:18" x14ac:dyDescent="0.4">
      <c r="B7" s="1" t="s">
        <v>62</v>
      </c>
      <c r="C7" s="1" t="s">
        <v>65</v>
      </c>
      <c r="D7" s="1">
        <v>1200</v>
      </c>
      <c r="E7" s="1">
        <v>10</v>
      </c>
    </row>
    <row r="8" spans="1:18" x14ac:dyDescent="0.4">
      <c r="B8" s="1" t="s">
        <v>66</v>
      </c>
      <c r="C8" s="1" t="s">
        <v>67</v>
      </c>
      <c r="D8" s="1">
        <v>2200</v>
      </c>
      <c r="E8" s="1">
        <v>12</v>
      </c>
    </row>
    <row r="9" spans="1:18" hidden="1" x14ac:dyDescent="0.4">
      <c r="B9" s="1" t="s">
        <v>63</v>
      </c>
      <c r="C9" s="1" t="s">
        <v>68</v>
      </c>
      <c r="D9" s="1">
        <v>42000</v>
      </c>
      <c r="E9" s="1">
        <v>3</v>
      </c>
    </row>
    <row r="10" spans="1:18" hidden="1" x14ac:dyDescent="0.4">
      <c r="B10" s="1" t="s">
        <v>62</v>
      </c>
      <c r="C10" s="1" t="s">
        <v>69</v>
      </c>
      <c r="D10" s="1">
        <v>2500</v>
      </c>
      <c r="E10" s="1">
        <v>6</v>
      </c>
    </row>
    <row r="11" spans="1:18" x14ac:dyDescent="0.4">
      <c r="B11" s="1" t="s">
        <v>63</v>
      </c>
      <c r="C11" s="1" t="s">
        <v>68</v>
      </c>
      <c r="D11" s="1">
        <v>3500</v>
      </c>
      <c r="E11" s="1">
        <v>15</v>
      </c>
    </row>
    <row r="12" spans="1:18" x14ac:dyDescent="0.4">
      <c r="B12" s="1" t="s">
        <v>63</v>
      </c>
      <c r="C12" s="1" t="s">
        <v>70</v>
      </c>
      <c r="D12" s="1">
        <v>2500</v>
      </c>
      <c r="E12" s="1">
        <v>8</v>
      </c>
    </row>
    <row r="13" spans="1:18" x14ac:dyDescent="0.4">
      <c r="B13" s="1" t="s">
        <v>62</v>
      </c>
      <c r="C13" s="1" t="s">
        <v>69</v>
      </c>
      <c r="D13" s="1">
        <v>5000</v>
      </c>
      <c r="E13" s="1">
        <v>4</v>
      </c>
    </row>
    <row r="14" spans="1:18" x14ac:dyDescent="0.4">
      <c r="B14" s="1" t="s">
        <v>62</v>
      </c>
      <c r="C14" s="1" t="s">
        <v>69</v>
      </c>
      <c r="D14" s="1">
        <v>2700</v>
      </c>
      <c r="E14" s="1">
        <v>17</v>
      </c>
    </row>
    <row r="16" spans="1:18" x14ac:dyDescent="0.4">
      <c r="C16" t="s">
        <v>103</v>
      </c>
      <c r="E16">
        <f>SUBTOTAL(9,E4:E14)</f>
        <v>118</v>
      </c>
      <c r="F16">
        <v>9</v>
      </c>
    </row>
    <row r="17" spans="3:6" x14ac:dyDescent="0.4">
      <c r="C17" t="s">
        <v>104</v>
      </c>
      <c r="E17">
        <f>SUBTOTAL(109,E4:E14)</f>
        <v>109</v>
      </c>
      <c r="F17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B9CB-3EBC-480B-A370-737A86871BDA}">
  <dimension ref="A1:R31"/>
  <sheetViews>
    <sheetView workbookViewId="0">
      <pane ySplit="1" topLeftCell="A18" activePane="bottomLeft" state="frozen"/>
      <selection pane="bottomLeft" activeCell="I25" sqref="I25"/>
    </sheetView>
  </sheetViews>
  <sheetFormatPr defaultRowHeight="26.25" x14ac:dyDescent="0.4"/>
  <cols>
    <col min="1" max="1" width="2" customWidth="1"/>
    <col min="2" max="2" width="6.2109375" customWidth="1"/>
    <col min="3" max="5" width="11.2109375" customWidth="1"/>
    <col min="7" max="7" width="11.35546875" customWidth="1"/>
    <col min="8" max="8" width="8.5703125" customWidth="1"/>
    <col min="9" max="10" width="14.140625" customWidth="1"/>
  </cols>
  <sheetData>
    <row r="1" spans="1:18" ht="51.6" customHeight="1" thickBot="1" x14ac:dyDescent="0.45">
      <c r="A1" s="2"/>
      <c r="B1" s="4" t="s">
        <v>100</v>
      </c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</row>
    <row r="2" spans="1:18" ht="27" customHeight="1" x14ac:dyDescent="0.4">
      <c r="A2" s="2"/>
      <c r="B2" s="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8.9" customHeight="1" x14ac:dyDescent="0.4">
      <c r="B3" s="13" t="s">
        <v>71</v>
      </c>
      <c r="C3" s="13" t="s">
        <v>78</v>
      </c>
      <c r="D3" s="13" t="s">
        <v>79</v>
      </c>
      <c r="E3" s="13" t="s">
        <v>80</v>
      </c>
      <c r="G3" s="11" t="s">
        <v>93</v>
      </c>
    </row>
    <row r="4" spans="1:18" x14ac:dyDescent="0.4">
      <c r="B4" s="9">
        <v>1</v>
      </c>
      <c r="C4" s="9" t="s">
        <v>23</v>
      </c>
      <c r="D4" s="9" t="s">
        <v>81</v>
      </c>
      <c r="E4" s="9" t="s">
        <v>82</v>
      </c>
      <c r="G4" t="str">
        <f>_xlfn.TEXTJOIN("_",TRUE,C4:E4)</f>
        <v>Rahul_Kumar_Singh</v>
      </c>
    </row>
    <row r="5" spans="1:18" x14ac:dyDescent="0.4">
      <c r="B5" s="9">
        <v>2</v>
      </c>
      <c r="C5" s="9" t="s">
        <v>8</v>
      </c>
      <c r="D5" s="9" t="s">
        <v>83</v>
      </c>
      <c r="E5" s="9"/>
      <c r="G5" t="str">
        <f t="shared" ref="G5:G11" si="0">_xlfn.TEXTJOIN("_",TRUE,C5:E5)</f>
        <v>Priya_Devi</v>
      </c>
    </row>
    <row r="6" spans="1:18" x14ac:dyDescent="0.4">
      <c r="B6" s="9">
        <v>3</v>
      </c>
      <c r="C6" s="9" t="s">
        <v>11</v>
      </c>
      <c r="D6" s="9"/>
      <c r="E6" s="9" t="s">
        <v>84</v>
      </c>
      <c r="G6" t="str">
        <f t="shared" si="0"/>
        <v>Aman_Yadav</v>
      </c>
    </row>
    <row r="7" spans="1:18" x14ac:dyDescent="0.4">
      <c r="B7" s="9">
        <v>4</v>
      </c>
      <c r="C7" s="9" t="s">
        <v>14</v>
      </c>
      <c r="D7" s="9" t="s">
        <v>85</v>
      </c>
      <c r="E7" s="9" t="s">
        <v>86</v>
      </c>
      <c r="G7" t="str">
        <f t="shared" si="0"/>
        <v>Neha_Rani_Verma</v>
      </c>
    </row>
    <row r="8" spans="1:18" x14ac:dyDescent="0.4">
      <c r="B8" s="9">
        <v>5</v>
      </c>
      <c r="C8" s="9" t="s">
        <v>5</v>
      </c>
      <c r="D8" s="9"/>
      <c r="E8" s="9" t="s">
        <v>87</v>
      </c>
      <c r="G8" t="str">
        <f t="shared" si="0"/>
        <v>Rohan_Mehta</v>
      </c>
    </row>
    <row r="9" spans="1:18" x14ac:dyDescent="0.4">
      <c r="B9" s="9">
        <v>6</v>
      </c>
      <c r="C9" s="9" t="s">
        <v>76</v>
      </c>
      <c r="D9" s="9" t="s">
        <v>88</v>
      </c>
      <c r="E9" s="9" t="s">
        <v>89</v>
      </c>
      <c r="G9" t="str">
        <f t="shared" si="0"/>
        <v>Meera_Kaur_Gill</v>
      </c>
    </row>
    <row r="10" spans="1:18" x14ac:dyDescent="0.4">
      <c r="B10" s="9">
        <v>7</v>
      </c>
      <c r="C10" s="9" t="s">
        <v>77</v>
      </c>
      <c r="D10" s="9" t="s">
        <v>90</v>
      </c>
      <c r="E10" s="9"/>
      <c r="G10" t="str">
        <f t="shared" si="0"/>
        <v>Sohan_Raj</v>
      </c>
    </row>
    <row r="11" spans="1:18" x14ac:dyDescent="0.4">
      <c r="B11" s="9">
        <v>8</v>
      </c>
      <c r="C11" s="9" t="s">
        <v>91</v>
      </c>
      <c r="D11" s="9" t="s">
        <v>81</v>
      </c>
      <c r="E11" s="9" t="s">
        <v>92</v>
      </c>
      <c r="G11" t="str">
        <f t="shared" si="0"/>
        <v>Ankit_Kumar_Gupta</v>
      </c>
    </row>
    <row r="19" spans="2:10" x14ac:dyDescent="0.4">
      <c r="B19" s="13" t="s">
        <v>71</v>
      </c>
      <c r="C19" s="13" t="s">
        <v>99</v>
      </c>
      <c r="D19" s="13" t="s">
        <v>2</v>
      </c>
      <c r="E19" s="13" t="s">
        <v>3</v>
      </c>
      <c r="F19" s="13" t="s">
        <v>72</v>
      </c>
      <c r="G19" s="13" t="s">
        <v>73</v>
      </c>
    </row>
    <row r="20" spans="2:10" x14ac:dyDescent="0.4">
      <c r="B20" s="9">
        <v>101</v>
      </c>
      <c r="C20" s="9" t="s">
        <v>23</v>
      </c>
      <c r="D20" s="9" t="s">
        <v>6</v>
      </c>
      <c r="E20" s="9">
        <v>35000</v>
      </c>
      <c r="F20" s="9" t="s">
        <v>74</v>
      </c>
      <c r="G20" s="12">
        <v>44239</v>
      </c>
    </row>
    <row r="21" spans="2:10" x14ac:dyDescent="0.4">
      <c r="B21" s="9">
        <v>102</v>
      </c>
      <c r="C21" s="9" t="s">
        <v>95</v>
      </c>
      <c r="D21" s="9" t="s">
        <v>9</v>
      </c>
      <c r="E21" s="9">
        <v>42000</v>
      </c>
      <c r="F21" s="9" t="s">
        <v>74</v>
      </c>
      <c r="G21" s="12">
        <v>43987</v>
      </c>
    </row>
    <row r="22" spans="2:10" x14ac:dyDescent="0.4">
      <c r="B22" s="9">
        <v>103</v>
      </c>
      <c r="C22" s="9" t="s">
        <v>11</v>
      </c>
      <c r="D22" s="9" t="s">
        <v>21</v>
      </c>
      <c r="E22" s="9">
        <v>55000</v>
      </c>
      <c r="F22" s="9" t="s">
        <v>75</v>
      </c>
      <c r="G22" s="12">
        <v>43726</v>
      </c>
    </row>
    <row r="23" spans="2:10" x14ac:dyDescent="0.4">
      <c r="B23" s="9">
        <v>104</v>
      </c>
      <c r="C23" s="9" t="s">
        <v>14</v>
      </c>
      <c r="D23" s="9" t="s">
        <v>12</v>
      </c>
      <c r="E23" s="9">
        <v>47000</v>
      </c>
      <c r="F23" s="9" t="s">
        <v>74</v>
      </c>
      <c r="G23" s="12">
        <v>44890</v>
      </c>
      <c r="I23" s="10" t="s">
        <v>2</v>
      </c>
      <c r="J23" s="15" t="s">
        <v>94</v>
      </c>
    </row>
    <row r="24" spans="2:10" x14ac:dyDescent="0.4">
      <c r="B24" s="9">
        <v>105</v>
      </c>
      <c r="C24" s="9" t="s">
        <v>5</v>
      </c>
      <c r="D24" s="9" t="s">
        <v>21</v>
      </c>
      <c r="E24" s="9">
        <v>52000</v>
      </c>
      <c r="F24" s="9" t="s">
        <v>74</v>
      </c>
      <c r="G24" s="12">
        <v>44995</v>
      </c>
      <c r="I24" s="14" t="s">
        <v>41</v>
      </c>
      <c r="J24" t="str" cm="1">
        <f t="array" ref="J24">_xlfn.TEXTJOIN(", ",TRUE,_xlfn._xlws.FILTER(C20:C31,D20:D31=I24))</f>
        <v>Aman, Rohan, Amit Kumar, Tinku</v>
      </c>
    </row>
    <row r="25" spans="2:10" x14ac:dyDescent="0.4">
      <c r="B25" s="9">
        <v>106</v>
      </c>
      <c r="C25" s="9" t="s">
        <v>76</v>
      </c>
      <c r="D25" s="9" t="s">
        <v>6</v>
      </c>
      <c r="E25" s="9">
        <v>38000</v>
      </c>
      <c r="F25" s="9" t="s">
        <v>75</v>
      </c>
      <c r="G25" s="12">
        <v>43845</v>
      </c>
    </row>
    <row r="26" spans="2:10" x14ac:dyDescent="0.4">
      <c r="B26" s="9">
        <v>107</v>
      </c>
      <c r="C26" s="9" t="s">
        <v>77</v>
      </c>
      <c r="D26" s="9" t="s">
        <v>9</v>
      </c>
      <c r="E26" s="9">
        <v>41000</v>
      </c>
      <c r="F26" s="9" t="s">
        <v>74</v>
      </c>
      <c r="G26" s="12">
        <v>44397</v>
      </c>
    </row>
    <row r="27" spans="2:10" x14ac:dyDescent="0.4">
      <c r="B27" s="9">
        <v>108</v>
      </c>
      <c r="C27" s="9" t="s">
        <v>96</v>
      </c>
      <c r="D27" s="9" t="s">
        <v>21</v>
      </c>
      <c r="E27" s="9">
        <v>55000</v>
      </c>
      <c r="F27" s="9" t="s">
        <v>75</v>
      </c>
      <c r="G27" s="12">
        <v>43726</v>
      </c>
    </row>
    <row r="28" spans="2:10" x14ac:dyDescent="0.4">
      <c r="B28" s="9">
        <v>109</v>
      </c>
      <c r="C28" s="9" t="s">
        <v>37</v>
      </c>
      <c r="D28" s="9" t="s">
        <v>12</v>
      </c>
      <c r="E28" s="9">
        <v>47000</v>
      </c>
      <c r="F28" s="9" t="s">
        <v>74</v>
      </c>
      <c r="G28" s="12">
        <v>44890</v>
      </c>
    </row>
    <row r="29" spans="2:10" x14ac:dyDescent="0.4">
      <c r="B29" s="9">
        <v>110</v>
      </c>
      <c r="C29" s="9" t="s">
        <v>38</v>
      </c>
      <c r="D29" s="9" t="s">
        <v>21</v>
      </c>
      <c r="E29" s="9">
        <v>52000</v>
      </c>
      <c r="F29" s="9" t="s">
        <v>74</v>
      </c>
      <c r="G29" s="12">
        <v>44995</v>
      </c>
    </row>
    <row r="30" spans="2:10" x14ac:dyDescent="0.4">
      <c r="B30" s="9">
        <v>111</v>
      </c>
      <c r="C30" s="9" t="s">
        <v>97</v>
      </c>
      <c r="D30" s="9" t="s">
        <v>6</v>
      </c>
      <c r="E30" s="9">
        <v>38000</v>
      </c>
      <c r="F30" s="9" t="s">
        <v>75</v>
      </c>
      <c r="G30" s="12">
        <v>43845</v>
      </c>
    </row>
    <row r="31" spans="2:10" x14ac:dyDescent="0.4">
      <c r="B31" s="9">
        <v>112</v>
      </c>
      <c r="C31" s="9" t="s">
        <v>98</v>
      </c>
      <c r="D31" s="9" t="s">
        <v>9</v>
      </c>
      <c r="E31" s="9">
        <v>41000</v>
      </c>
      <c r="F31" s="9" t="s">
        <v>74</v>
      </c>
      <c r="G31" s="12">
        <v>44397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5A47-02A6-43C8-B353-B691260EB4A4}">
  <dimension ref="A1:S13"/>
  <sheetViews>
    <sheetView workbookViewId="0">
      <selection activeCell="I12" sqref="I12"/>
    </sheetView>
  </sheetViews>
  <sheetFormatPr defaultRowHeight="26.25" x14ac:dyDescent="0.4"/>
  <cols>
    <col min="1" max="1" width="2" customWidth="1"/>
    <col min="3" max="3" width="8.92578125" customWidth="1"/>
    <col min="4" max="4" width="10.7109375" customWidth="1"/>
    <col min="9" max="9" width="10.5" customWidth="1"/>
    <col min="10" max="10" width="10.28515625" customWidth="1"/>
  </cols>
  <sheetData>
    <row r="1" spans="1:19" ht="51.6" customHeight="1" thickBot="1" x14ac:dyDescent="0.45">
      <c r="A1" s="2"/>
      <c r="B1" s="4" t="s">
        <v>101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</row>
    <row r="3" spans="1:19" x14ac:dyDescent="0.4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H3" s="5" t="s">
        <v>1</v>
      </c>
      <c r="I3" s="5" t="s">
        <v>3</v>
      </c>
    </row>
    <row r="4" spans="1:19" x14ac:dyDescent="0.4">
      <c r="B4" s="1">
        <v>101</v>
      </c>
      <c r="C4" s="1" t="s">
        <v>5</v>
      </c>
      <c r="D4" s="1" t="s">
        <v>21</v>
      </c>
      <c r="E4" s="1">
        <v>45000</v>
      </c>
      <c r="F4" s="1" t="s">
        <v>7</v>
      </c>
      <c r="H4" s="1" t="s">
        <v>23</v>
      </c>
      <c r="I4" s="16">
        <f>VLOOKUP(H4,C3:F13,3,0)</f>
        <v>58000</v>
      </c>
      <c r="J4" t="str">
        <f ca="1">_xlfn.FORMULATEXT(I4)</f>
        <v>=VLOOKUP(H4,C3:F13,3,0)</v>
      </c>
    </row>
    <row r="5" spans="1:19" x14ac:dyDescent="0.4">
      <c r="B5" s="1">
        <v>102</v>
      </c>
      <c r="C5" s="1" t="s">
        <v>8</v>
      </c>
      <c r="D5" s="1" t="s">
        <v>9</v>
      </c>
      <c r="E5" s="1">
        <v>52000</v>
      </c>
      <c r="F5" s="1" t="s">
        <v>10</v>
      </c>
    </row>
    <row r="6" spans="1:19" x14ac:dyDescent="0.4">
      <c r="B6" s="1">
        <v>103</v>
      </c>
      <c r="C6" s="1" t="s">
        <v>11</v>
      </c>
      <c r="D6" s="1" t="s">
        <v>15</v>
      </c>
      <c r="E6" s="1">
        <v>60000</v>
      </c>
      <c r="F6" s="1" t="s">
        <v>13</v>
      </c>
    </row>
    <row r="7" spans="1:19" x14ac:dyDescent="0.4">
      <c r="B7" s="1">
        <v>104</v>
      </c>
      <c r="C7" s="1" t="s">
        <v>14</v>
      </c>
      <c r="D7" s="1" t="s">
        <v>15</v>
      </c>
      <c r="E7" s="1">
        <v>48000</v>
      </c>
      <c r="F7" s="1" t="s">
        <v>7</v>
      </c>
      <c r="H7" s="5" t="s">
        <v>1</v>
      </c>
      <c r="I7" s="5" t="s">
        <v>3</v>
      </c>
    </row>
    <row r="8" spans="1:19" x14ac:dyDescent="0.4">
      <c r="B8" s="1">
        <v>105</v>
      </c>
      <c r="C8" s="1" t="s">
        <v>16</v>
      </c>
      <c r="D8" s="1" t="s">
        <v>21</v>
      </c>
      <c r="E8" s="1">
        <v>55000</v>
      </c>
      <c r="F8" s="1" t="s">
        <v>17</v>
      </c>
      <c r="H8" s="1" t="s">
        <v>41</v>
      </c>
      <c r="I8" s="1">
        <f>SUMIF(D3:D13,H8,E3:E13)</f>
        <v>228000</v>
      </c>
      <c r="J8" t="str">
        <f ca="1">_xlfn.FORMULATEXT(I8)</f>
        <v>=SUMIF(D3:D13,H8,E3:E13)</v>
      </c>
    </row>
    <row r="9" spans="1:19" x14ac:dyDescent="0.4">
      <c r="B9" s="1">
        <v>106</v>
      </c>
      <c r="C9" s="1" t="s">
        <v>18</v>
      </c>
      <c r="D9" s="1" t="s">
        <v>9</v>
      </c>
      <c r="E9" s="1">
        <v>51000</v>
      </c>
      <c r="F9" s="1" t="s">
        <v>13</v>
      </c>
    </row>
    <row r="10" spans="1:19" x14ac:dyDescent="0.4">
      <c r="B10" s="1">
        <v>107</v>
      </c>
      <c r="C10" s="1" t="s">
        <v>19</v>
      </c>
      <c r="D10" s="1" t="s">
        <v>15</v>
      </c>
      <c r="E10" s="1">
        <v>62000</v>
      </c>
      <c r="F10" s="1" t="s">
        <v>10</v>
      </c>
    </row>
    <row r="11" spans="1:19" x14ac:dyDescent="0.4">
      <c r="B11" s="1">
        <v>108</v>
      </c>
      <c r="C11" s="1" t="s">
        <v>20</v>
      </c>
      <c r="D11" s="1" t="s">
        <v>21</v>
      </c>
      <c r="E11" s="1">
        <v>70000</v>
      </c>
      <c r="F11" s="1" t="s">
        <v>22</v>
      </c>
    </row>
    <row r="12" spans="1:19" x14ac:dyDescent="0.4">
      <c r="B12" s="1">
        <v>109</v>
      </c>
      <c r="C12" s="1" t="s">
        <v>23</v>
      </c>
      <c r="D12" s="1" t="s">
        <v>21</v>
      </c>
      <c r="E12" s="1">
        <v>58000</v>
      </c>
      <c r="F12" s="1" t="s">
        <v>7</v>
      </c>
    </row>
    <row r="13" spans="1:19" x14ac:dyDescent="0.4">
      <c r="B13" s="1">
        <v>110</v>
      </c>
      <c r="C13" s="1" t="s">
        <v>24</v>
      </c>
      <c r="D13" s="1" t="s">
        <v>15</v>
      </c>
      <c r="E13" s="1">
        <v>47000</v>
      </c>
      <c r="F13" s="1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9494-2D40-4EEE-BFF4-1B1D7680E422}">
  <dimension ref="A1"/>
  <sheetViews>
    <sheetView workbookViewId="0"/>
  </sheetViews>
  <sheetFormatPr defaultRowHeight="26.25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Jalpa Desai</cp:lastModifiedBy>
  <dcterms:created xsi:type="dcterms:W3CDTF">2025-12-09T11:44:18Z</dcterms:created>
  <dcterms:modified xsi:type="dcterms:W3CDTF">2026-02-08T07:04:08Z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2026-02-01T04:13:18Z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54b72f2d-050a-4e1d-b4ef-d463c5ddccb4</vt:lpwstr>
  </property>
  <property fmtid="{D5CDD505-2E9C-101B-9397-08002B2CF9AE}" pid="7" name="MSIP_Label_defa4170-0d19-0005-0004-bc88714345d2_ActionId">
    <vt:lpwstr>c463625c-035e-4f91-b76d-d07772a52a9d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